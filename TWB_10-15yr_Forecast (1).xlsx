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AM-SAM-SOM" sheetId="2" state="visible" r:id="rId4"/>
    <sheet name="Segment Detail" sheetId="3" state="visible" r:id="rId5"/>
    <sheet name="Revenue Build" sheetId="4" state="visible" r:id="rId6"/>
    <sheet name="Metals Recovery" sheetId="5" state="visible" r:id="rId7"/>
    <sheet name="Headcount &amp; Ops" sheetId="6" state="visible" r:id="rId8"/>
    <sheet name="Scenarios" sheetId="7" state="visible" r:id="rId9"/>
    <sheet name="Sources" sheetId="8" state="visible" r:id="rId10"/>
    <sheet name="2027 Go-Public Valuation" sheetId="9" state="visible" r:id="rId11"/>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48" authorId="0">
      <text>
        <r>
          <rPr>
            <sz val="10"/>
            <rFont val="Arial"/>
            <family val="2"/>
          </rPr>
          <t xml:space="preserve">This is the single most important lever in the model. 10% share of SAM by Year 15 is aggressive but not implausible for a focused platform player in a fragmented market (see Segment Detail tab — most incumbents are sub-scale, nationally-bound operators). Flex this on the Scenarios tab.</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47" authorId="0">
      <text>
        <r>
          <rPr>
            <sz val="10"/>
            <rFont val="Arial"/>
            <family val="2"/>
          </rPr>
          <t xml:space="preserve">MODELED: a mix of bolt-on acquisitions (small, capability- or geography-specific, e.g. a national EOD operator, a licensed demining contractor) and at least one larger platform acquisition (e.g. a US-licensed operator to solve the ITAR/incumbency problem directly, per the Capability Roadmap above). Seven deals over 15 years is roughly one every ~2 years, front-loaded — an active buy-and-build strategy in a fragmented market, consistent with the stated intent to invest and acquire rather than rely on organic growth alone.</t>
        </r>
      </text>
    </comment>
    <comment ref="C48" authorId="0">
      <text>
        <r>
          <rPr>
            <sz val="10"/>
            <rFont val="Arial"/>
            <family val="2"/>
          </rPr>
          <t xml:space="preserve">MODELED: most incumbents in this space are sub-scale, nationally-bound operators (see Segment Detail tab), so targets are more likely to be $10-35M revenue businesses than large standalone platforms — consistent with a fragmented-market roll-up, though this average is deliberately higher than a pure bolt-on-only strategy to reflect at least one or two larger platform-scale acquisitions (e.g. the US entry deal) pulling the average up.</t>
        </r>
      </text>
    </comment>
    <comment ref="C49" authorId="0">
      <text>
        <r>
          <rPr>
            <sz val="10"/>
            <rFont val="Arial"/>
            <family val="2"/>
          </rPr>
          <t xml:space="preserve">MODELED: acquired businesses are assumed to grow at a rate comparable to TWB's stronger organic segments (Europe, Ukraine) post-integration — this assumes successful integration onto TWB's platform, contract relationships, and metals recovery capability, not just standalone continuation of the target's pre-acquisition trajectory. This is an optimistic-but-not-unreasonable integration assumption and is one of the more important levers to stress-test.</t>
        </r>
      </text>
    </comment>
    <comment ref="D35" authorId="0">
      <text>
        <r>
          <rPr>
            <sz val="10"/>
            <rFont val="Arial"/>
            <family val="2"/>
          </rPr>
          <t xml:space="preserve">Current TWB revenue base, per stated &lt;$5M starting point. TWB's eMACS/MACS mobile ammunition combustion system was co-developed with the Royal Canadian Mounted Police and has been in use since 2001, giving TWB a genuinely differentiated, long-standing government relationship as its foundation — not a generic domestic base. Modeled to grow steadily as existing RCMP/police/provincial relationships deepen, well before international expansion contributes materially.</t>
        </r>
      </text>
    </comment>
    <comment ref="D55" authorId="0">
      <text>
        <r>
          <rPr>
            <sz val="10"/>
            <rFont val="Arial"/>
            <family val="2"/>
          </rPr>
          <t xml:space="preserve">MODELED, illustrative only: a 1.2x revenue multiple is a placeholder for sub-scale services businesses in this sector (no clean public comparable set exists — most transactions here are private and undisclosed). This is a capital-planning placeholder for the board to size the acquisition war chest required, not a real valuation estimate — replace with actual target-specific diligence once candidates are identified.</t>
        </r>
      </text>
    </comment>
    <comment ref="E36" authorId="0">
      <text>
        <r>
          <rPr>
            <sz val="10"/>
            <rFont val="Arial"/>
            <family val="2"/>
          </rPr>
          <t xml:space="preserve">MODELED: US entry moved EARLY (Y1) — as a Canadian operator, TWB does not face the ITAR foreign-ownership barrier a UK or EU-based competitor would face entering the US market, and TWB's existing eMACS/MACS platform is already built to meet or exceed California EPA emissions standards, ahead of most US state environmental requirements. This is the single biggest structural advantage of TWB's actual Canadian base versus a hypothetical UK/EU starting point, and is reflected here as the fastest, largest near-term expansion opportunity — still requires US state-level licensing and law-enforcement relationship-building, but that is a permitting and sales-cycle problem, not a structural market-access barrier.</t>
        </r>
      </text>
    </comment>
    <comment ref="F37" authorId="0">
      <text>
        <r>
          <rPr>
            <sz val="10"/>
            <rFont val="Arial"/>
            <family val="2"/>
          </rPr>
          <t xml:space="preserve">MODELED ramp: TWB wins first framework-level EOD/ammo demil contracts in Europe by Y2, scaling as reputation and capacity build. 24% mature-year growth reflects both organic contract wins and the European stockpile-turnover/rearmament tailwind — one of the two largest segments in the 10%-share plan alongside Ukraine, though it requires a genuinely new EU/NATO certification base (distinct from Canada/US) rather than leveraging existing standards compliance the way US entry does.</t>
        </r>
      </text>
    </comment>
    <comment ref="G52" authorId="0">
      <text>
        <r>
          <rPr>
            <sz val="10"/>
            <rFont val="Arial"/>
            <family val="2"/>
          </rPr>
          <t xml:space="preserve">MODELED: deals FRONT-LOADED starting Year 2 (three deals in Years 2-4 alone) — this is the key structural choice that makes the 10%-share target reachable: acquisitions made early have far more years to compound at the post-acquisition growth rate than ones made late. This means the plan is front-loaded on capital deployment and integration risk — the board should read the early years as the period requiring the most active M&amp;A execution and the most capital, not a gradual ramp. Flex this row directly to test slower/later deal pacing and see the material effect on the Year-15 outcome (see Scenarios tab).</t>
        </r>
      </text>
    </comment>
    <comment ref="J38" authorId="0">
      <text>
        <r>
          <rPr>
            <sz val="10"/>
            <rFont val="Arial"/>
            <family val="2"/>
          </rPr>
          <t xml:space="preserve">MODELED: assumes TWB becomes one of a handful of leading international operators competing in Ukraine's tender process at meaningful scale (precedent: HALO Trust, MAG, and other established operators already active at scale). Growth decelerates to 11.5%/yr post-ramp as the program matures — still deliberately conservative relative to the full $29-31bn total need, capturing only a competitive slice of realistic annual disbursement (see Segment Detail tab), but this is the single largest near-term demand shock in the whole market and is sized accordingly as the largest segment in the 10%-share plan alongside Europe.</t>
        </r>
      </text>
    </comment>
    <comment ref="K39" authorId="0">
      <text>
        <r>
          <rPr>
            <sz val="10"/>
            <rFont val="Arial"/>
            <family val="2"/>
          </rPr>
          <t xml:space="preserve">MODELED: latest-phase entry, reflecting the higher relationship/geopolitical complexity of this region. Sized as the smallest of the core geographic segments given TWB's stated starting point and the additional complexity of operating there, but still a real contributor by Year 15.</t>
        </r>
      </text>
    </comment>
    <comment ref="M40" authorId="0">
      <text>
        <r>
          <rPr>
            <sz val="10"/>
            <rFont val="Arial"/>
            <family val="2"/>
          </rPr>
          <t xml:space="preserve">MODELED: latest and smallest phase of expansion by design. This is a shrinking, heavily government-controlled, OPCW-regulated segment (see Segment Detail tab) with very few commercial entrants — TWB would need a specific licensed capability and government sponsorship to enter at all. Modeled as a small, late, opportunistic contributor — treat this line as optionality, not a core growth driver.</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16" authorId="0">
      <text>
        <r>
          <rPr>
            <sz val="10"/>
            <rFont val="Arial"/>
            <family val="2"/>
          </rPr>
          <t xml:space="preserve">MODELED assumption, not sourced. Logic: large-format ordnance and small arms are metal-dense (steel casings, brass cartridges, aluminum/steel housings). At current scrap prices (see table above), a meaningful fraction of destruction contract value can plausibly be recaptured as metals revenue IF TWB retains recovery rights (vs. simply disposing of material) and has in-house or partnered smelting/refining logistics. 14% is a planning placeholder pending real operational data — flex this heavily in board discussion; it could reasonably range 5-25% depending on contract structure and metal mix.</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29" authorId="0">
      <text>
        <r>
          <rPr>
            <sz val="10"/>
            <rFont val="Arial"/>
            <family val="2"/>
          </rPr>
          <t xml:space="preserve">MODELED: acquired businesses in this fragmented, sub-scale sector are more field-operations-heavy and less corporate-overhead-efficient than a platform business with shared functions — $140k/FTE (below every function benchmark above) reflects that the deal-driven portion of revenue growth tends to come with proportionally more headcount attached. Used below to weight the blended total revenue/FTE ratio each year as the acquisition program contributes more of the mix.</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39" authorId="0">
      <text>
        <r>
          <rPr>
            <sz val="10"/>
            <rFont val="Arial"/>
            <family val="2"/>
          </rPr>
          <t xml:space="preserve">MODELED: a maturing, integrated services-plus-metals-recovery platform at Year-10 scale is assumed to reach a 20% EBITDA margin — below the eventual 25% assumed at full Year-15 maturity elsewhere in this workbook, reflecting that a 10-year point still carries meaningful integration and scale-up costs from the acquisition program. Comparable to established A&amp;D services businesses part-way through a margin-expansion trajectory (Cadre Holdings currently runs ~17-18% adjusted EBITDA margin, with margin expansion as a stated strategic priority).</t>
        </r>
      </text>
    </comment>
    <comment ref="C49" authorId="0">
      <text>
        <r>
          <rPr>
            <sz val="10"/>
            <rFont val="Arial"/>
            <family val="2"/>
          </rPr>
          <t xml:space="preserve">MODELED: set to 10 periods, matching the Year-10 horizon of the projection itself — the denominator and the projection window are consistent with each other, which is the single most important design choice on this tab. A shorter discount period than the projection horizon (e.g. discounting a 10-year-out estimate back only 3 periods) would substantially and artificially inflate the implied fair value; this tab avoids that by construction. Flex directly to stress-test.</t>
        </r>
      </text>
    </comment>
    <comment ref="C50" authorId="0">
      <text>
        <r>
          <rPr>
            <sz val="10"/>
            <rFont val="Arial"/>
            <family val="2"/>
          </rPr>
          <t xml:space="preserve">MODELED: 20% reflects a high-risk, pre-scale growth equity discount rate consistent with what public market investors typically demand for early-stage, story-driven growth companies in capital-intensive sectors. Flex directly; a lower rate (e.g. 15%) would materially increase the implied fair value, and a higher rate (e.g. 25-30%, arguably more appropriate given TWB's real current scale) would materially decrease it.</t>
        </r>
      </text>
    </comment>
    <comment ref="C59" authorId="0">
      <text>
        <r>
          <rPr>
            <sz val="10"/>
            <rFont val="Arial"/>
            <family val="2"/>
          </rPr>
          <t xml:space="preserve">MODELED: sized as a plausible near-term SPAC/growth-equity deal value for a company at TWB's actual current scale (~$863K revenue, ~$235K EBITDA today) with a credible but early-stage growth story. This is a standalone negotiated placeholder, not an output of the DFV formula — flex directly; it is the number a real term sheet would actually contain.</t>
        </r>
      </text>
    </comment>
    <comment ref="C66" authorId="0">
      <text>
        <r>
          <rPr>
            <sz val="10"/>
            <rFont val="Arial"/>
            <family val="2"/>
          </rPr>
          <t xml:space="preserve">MODELED: gross transaction proceeds as a % of enterprise value, sized in line with typical SPAC/growth-equity structures for a deal at this scale (proceeds commonly run 40-60% of EV in this size range). Flex directly.</t>
        </r>
      </text>
    </comment>
    <comment ref="D31" authorId="0">
      <text>
        <r>
          <rPr>
            <sz val="10"/>
            <rFont val="Arial"/>
            <family val="2"/>
          </rPr>
          <t xml:space="preserve">SOURCED: public A&amp;D services EV/EBITDA, (Q3 2025).</t>
        </r>
      </text>
    </comment>
    <comment ref="E31" authorId="0">
      <text>
        <r>
          <rPr>
            <sz val="10"/>
            <rFont val="Arial"/>
            <family val="2"/>
          </rPr>
          <t xml:space="preserve">SOURCED: private/strategic A&amp;D deal EV/EBITDA, (Q2 2026 private/strategic deals).</t>
        </r>
      </text>
    </comment>
  </commentList>
</comments>
</file>

<file path=xl/sharedStrings.xml><?xml version="1.0" encoding="utf-8"?>
<sst xmlns="http://schemas.openxmlformats.org/spreadsheetml/2006/main" count="558" uniqueCount="502">
  <si>
    <t xml:space="preserve">TWB — Global Secure Destruction &amp; Demilitarization Platform</t>
  </si>
  <si>
    <t xml:space="preserve">10-15 Year Revenue Forecast &amp; Market Sizing Model  |  Board / Investor Working Model  |  August 2026</t>
  </si>
  <si>
    <t xml:space="preserve">How this model is built</t>
  </si>
  <si>
    <t xml:space="preserve">This model separates two kinds of numbers throughout, colour-coded so nothing gets mistaken for the other:</t>
  </si>
  <si>
    <t xml:space="preserve">SOURCED market data</t>
  </si>
  <si>
    <t xml:space="preserve">Pulled from published market research, government and NGO reporting (Landmine Monitor, World Bank / Ukraine RDNA4, EOD market research houses, scrap metal indices). Black or green text. Full citations on the Sources tab.</t>
  </si>
  <si>
    <t xml:space="preserve">MODELED assumptions — yellow fill, blue font</t>
  </si>
  <si>
    <t xml:space="preserve">TWB-specific judgment calls: market share capture, margin, capex phasing, entry timing. These are the levers for the board conversation and are meant to be flexed together with the board — they are estimates, not market facts.</t>
  </si>
  <si>
    <t xml:space="preserve">Tabs in this workbook</t>
  </si>
  <si>
    <t xml:space="preserve">  TAM-SAM-SOM</t>
  </si>
  <si>
    <t xml:space="preserve">        Global addressable market build-up across all destruction sub-segments (2026 baseline), and TWB's serviceable/obtainable slice</t>
  </si>
  <si>
    <t xml:space="preserve">  Segment Detail</t>
  </si>
  <si>
    <t xml:space="preserve">        Line-by-line sourcing for each market segment: mine action, EOD equipment/services, ammunition demil, chem weapons, Ukraine-specific</t>
  </si>
  <si>
    <t xml:space="preserve">  Revenue Build</t>
  </si>
  <si>
    <t xml:space="preserve">        10-15 year revenue forecast split into ORGANIC (phased market entry by segment/geography) and ACQUISITION-DRIVEN (modeled M&amp;A program) layers — together sized to hit the 10% SAM-share target</t>
  </si>
  <si>
    <t xml:space="preserve">  Metals Recovery</t>
  </si>
  <si>
    <t xml:space="preserve">        Scrap/metals reclamation revenue as a function of destruction throughput — the 'restocking domestic metals' revenue line</t>
  </si>
  <si>
    <t xml:space="preserve">  Headcount &amp; Ops</t>
  </si>
  <si>
    <t xml:space="preserve">        Team size and cost base implied by the revenue build, phased by function and geography</t>
  </si>
  <si>
    <t xml:space="preserve">  Scenarios</t>
  </si>
  <si>
    <t xml:space="preserve">        Base / Upside / Downside toggles and the resulting revenue and headcount range</t>
  </si>
  <si>
    <t xml:space="preserve">  Sources</t>
  </si>
  <si>
    <t xml:space="preserve">        Full citation list with dates and URLs for every sourced figure</t>
  </si>
  <si>
    <t xml:space="preserve">  2027 Go-Public Valuation</t>
  </si>
  <si>
    <t xml:space="preserve">        Standard growth-stage SPAC/IPO valuation methodology (comp universe, EV/EBITDA multiples, Discounted Future Value bridge) applied to TWB's real starting financials and the operating model's Year-10 output — discount period matched to the 10-year projection horizon, with a sensitivity table showing why that matters, and public Nasdaq/NYSE comps for context</t>
  </si>
  <si>
    <t xml:space="preserve">Headline takeaway</t>
  </si>
  <si>
    <t xml:space="preserve">Base case: TWB grows from ~$3.5M today (Canada, RCMP/police base) to roughly $1.08bn revenue and a c.5,300 FTE global platform by Year 15, reaching the targeted 10% share of a Year-15 serviceable addressable market (SAM) that itself grows to ~$10.9bn (roughly double today's $5.2bn). Getting there requires both continued contract-win growth across Canada, the US, Europe, Ukraine, the Middle East, and (from Year 10) chemical weapons demilitarization, AND a funded acquisition program of roughly seven deals over the period — phased entry alone reaches only around half the target. See the Revenue Build tab for the full year-by-year build and the acquisition assumptions (deal count, size, timing, post-acquisition growth) that make up the total, and the Headcount &amp; Ops tab for the resulting team size.</t>
  </si>
  <si>
    <t xml:space="preserve">This is fundamentally a share-capture and execution-risk story, not a market-size-risk story: the addressable spend already exists and is documented across multiple independent sources. The open question this model is built to stress-test is TWB's ability to win and deliver against it — hence the Scenarios tab.</t>
  </si>
  <si>
    <t xml:space="preserve">Global Addressable Market — TAM / SAM / SOM</t>
  </si>
  <si>
    <t xml:space="preserve">2026 baseline, USD millions unless noted. See Segment Detail tab for full build of each line.</t>
  </si>
  <si>
    <t xml:space="preserve">STEP 1 — TAM: Total global spend across all secure destruction / demilitarization sub-segments</t>
  </si>
  <si>
    <t xml:space="preserve">Segment</t>
  </si>
  <si>
    <t xml:space="preserve">2026 value ($M)</t>
  </si>
  <si>
    <t xml:space="preserve">Annual growth (modeled)</t>
  </si>
  <si>
    <t xml:space="preserve">Source basis</t>
  </si>
  <si>
    <t xml:space="preserve">Note</t>
  </si>
  <si>
    <t xml:space="preserve">Humanitarian mine action (global donor + national funding)</t>
  </si>
  <si>
    <t xml:space="preserve">SOURCED</t>
  </si>
  <si>
    <t xml:space="preserve">Landmine Monitor 2025 — global 2024 funding total. Growth held near-flat (1%/yr): funding actually fell 5% in 2024 vs 2023, and US foreign-assistance freezes are an active headwind — modeled as roughly keeping pace with inflation only, not real growth.</t>
  </si>
  <si>
    <t xml:space="preserve">Military/law-enforcement EOD equipment &amp; services (global)</t>
  </si>
  <si>
    <t xml:space="preserve">SOURCED (mid-point)</t>
  </si>
  <si>
    <t xml:space="preserve">Market research houses range $8.5-9.6bn for 2025 with reported CAGRs clustering around 3-5%; 4.5% used as the blended mid-point.</t>
  </si>
  <si>
    <t xml:space="preserve">Ammunition demilitarization / stockpile destruction (global, modeled)</t>
  </si>
  <si>
    <t xml:space="preserve">MODELED</t>
  </si>
  <si>
    <t xml:space="preserve">Not separately reported by market researchers — sized at ~3% of global ammunition production spend. Growth rate follows the ammunition production market itself, which multiple sources put at a wide 4-14% CAGR range given current rearmament cycles; 7% used as a conservative-of-midpoint estimate.</t>
  </si>
  <si>
    <t xml:space="preserve">Chemical weapons demilitarization (residual global programs)</t>
  </si>
  <si>
    <t xml:space="preserve">Legacy CW stockpile destruction (OPCW-related, Syria/Libya/Russia residual programs) — this is a SHRINKING segment as legacy programs complete; modeled at -3%/yr decline.</t>
  </si>
  <si>
    <t xml:space="preserve">Ukraine-specific landmine/UXO clearance (incremental, not in above)</t>
  </si>
  <si>
    <t xml:space="preserve">MODELED (phased draw-down of $29-31bn total need)</t>
  </si>
  <si>
    <t xml:space="preserve">Total programme need is $29-31bn; this line estimates realistic ANNUAL disbursement, which is expected to ramp up sharply as reconstruction financing scales post-conflict, then taper as the total need gets worked down over ~15-20 years. A single 6%/yr compound rate is a deliberately CONSERVATIVE simplification of what is really a ramp-then-taper curve (which could see high-teens growth in years 3-8 followed by deceleration) — using a lower flat rate avoids overstating the later years, since a realistic curve's average is well below its peak-year growth. See note below the table.</t>
  </si>
  <si>
    <t xml:space="preserve">TOTAL TAM (annual global spend, 2026)</t>
  </si>
  <si>
    <t xml:space="preserve">Blended TAM growth rate (revenue-weighted, 2026)</t>
  </si>
  <si>
    <t xml:space="preserve">Note on Ukraine growth simplification: the real shape of Ukraine disbursement is a ramp-up (as reconstruction financing scales through years 3-8) followed by a taper (as the $29-31bn total need gets progressively worked down and easy sites are exhausted) — a single compound growth rate cannot capture that curve exactly. 6%/yr is set conservatively low precisely because compounding for 15 straight years at a higher rate (even the historically-plausible mid-teens seen in recent years) would overstate the total by Year 15 far more than it understates the middle years. Flagged here rather than hidden; the Revenue Build tab's own Ukraine ramp (which the board should treat as primary for TWB's OWN revenue) already models a ramp-then-decelerate shape directly rather than relying on this simplified TAM growth line — this line only affects the size of the market TWB is chasing, not TWB's own revenue path.</t>
  </si>
  <si>
    <t xml:space="preserve">STEP 2 — SAM: Serviceable market TWB can realistically address given its model</t>
  </si>
  <si>
    <t xml:space="preserve">Adjustments applied to TAM to reach the market TWB's business model can actually serve:</t>
  </si>
  <si>
    <t xml:space="preserve">Adjustment</t>
  </si>
  <si>
    <t xml:space="preserve">Factor</t>
  </si>
  <si>
    <t xml:space="preserve">Rationale</t>
  </si>
  <si>
    <t xml:space="preserve">Chemical weapons demil — included, but heavily discounted for market access reality</t>
  </si>
  <si>
    <t xml:space="preserve">MODELED: unlike the other segments, this market is almost entirely government-to-government, OPCW-licensed, and concentrated among a handful of state-sponsored or state-owned incumbents. A 15% access factor reflects that TWB can realistically pursue a thin slice of this spend (specialist subcontracts, niche capability gaps) rather than compete for it broadly — see Segment Detail tab.</t>
  </si>
  <si>
    <t xml:space="preserve">Geographic reach discount (TWB realistically active in Canada/US/EU/Ukraine/select ME, not full global TAM)</t>
  </si>
  <si>
    <t xml:space="preserve">Modeled: reflects export control, licensing, and relationship-building realities of operating in this sector — most players are regional/national even at scale</t>
  </si>
  <si>
    <t xml:space="preserve">Service-line fit discount (TWB's model — secure destruction + metals recovery — fits a subset of each segment's total spend, e.g., excludes pure EOD equipment manufacturing, R&amp;D, and training-only contracts)</t>
  </si>
  <si>
    <t xml:space="preserve">Modeled: TWB competes for destruction/disposal SERVICES specifically, not equipment sales, software, or standalone training contracts which make up a meaningful share of reported market sizes</t>
  </si>
  <si>
    <t xml:space="preserve">SAM calculation (2026 baseline):</t>
  </si>
  <si>
    <t xml:space="preserve">TAM, all segments (incl. chemical weapons)</t>
  </si>
  <si>
    <t xml:space="preserve">  x Chemical weapons access factor (applied only to that $400M slice — see note below)</t>
  </si>
  <si>
    <t xml:space="preserve">  x Geographic reach factor</t>
  </si>
  <si>
    <t xml:space="preserve">  x Service-line fit factor</t>
  </si>
  <si>
    <t xml:space="preserve">SAM (serviceable addressable market, 2026)</t>
  </si>
  <si>
    <t xml:space="preserve">  (Chemical weapons contributes its $400M TAM x 15% access x 55% geo x 65% service-fit = a small, explicit slice — shown separately since its access economics differ fundamentally from every other segment, not because it's excluded.)</t>
  </si>
  <si>
    <t xml:space="preserve">STEP 2b — SAM GROWS: 16-year projection applying each segment's own growth rate</t>
  </si>
  <si>
    <t xml:space="preserve">This is the number the Revenue Build and Headcount tabs actually compare TWB's revenue against — NOT the static 2026 figure above. Each segment compounds at the growth rate set in the Step 1 table (column D). The Geographic reach and Service-line fit discount factors are held constant (a simplifying assumption — TWB's addressable slice of each market is assumed proportionally stable, not itself growing or shrinking as a share of the segment).</t>
  </si>
  <si>
    <t xml:space="preserve">Calendar year</t>
  </si>
  <si>
    <t xml:space="preserve">Model year</t>
  </si>
  <si>
    <t xml:space="preserve">Y0</t>
  </si>
  <si>
    <t xml:space="preserve">Y1</t>
  </si>
  <si>
    <t xml:space="preserve">Y2</t>
  </si>
  <si>
    <t xml:space="preserve">Y3</t>
  </si>
  <si>
    <t xml:space="preserve">Y4</t>
  </si>
  <si>
    <t xml:space="preserve">Y5</t>
  </si>
  <si>
    <t xml:space="preserve">Y6</t>
  </si>
  <si>
    <t xml:space="preserve">Y7</t>
  </si>
  <si>
    <t xml:space="preserve">Y8</t>
  </si>
  <si>
    <t xml:space="preserve">Y9</t>
  </si>
  <si>
    <t xml:space="preserve">Y10</t>
  </si>
  <si>
    <t xml:space="preserve">Y11</t>
  </si>
  <si>
    <t xml:space="preserve">Y12</t>
  </si>
  <si>
    <t xml:space="preserve">Y13</t>
  </si>
  <si>
    <t xml:space="preserve">Y14</t>
  </si>
  <si>
    <t xml:space="preserve">Y15</t>
  </si>
  <si>
    <t xml:space="preserve">  Mine action</t>
  </si>
  <si>
    <t xml:space="preserve">  EOD equip.+svcs</t>
  </si>
  <si>
    <t xml:space="preserve">  Ammo demil</t>
  </si>
  <si>
    <t xml:space="preserve">  Chem weapons</t>
  </si>
  <si>
    <t xml:space="preserve">  Ukraine (incremental)</t>
  </si>
  <si>
    <t xml:space="preserve">TAM, all segments (grown)</t>
  </si>
  <si>
    <t xml:space="preserve">SAM (grown, applying the same access/geo/service-fit factors each year)</t>
  </si>
  <si>
    <t xml:space="preserve">SAM growth vs 2026 baseline</t>
  </si>
  <si>
    <t xml:space="preserve">STEP 3 — SOM: Serviceable Obtainable Market (Year 15 target share of the GROWN Year-15 SAM)</t>
  </si>
  <si>
    <t xml:space="preserve">Target Year-15 share of SAM (modeled — see Scenarios tab for range)</t>
  </si>
  <si>
    <t xml:space="preserve">Year-15 SAM (grown — this is the correct denominator, not the static 2026 figure)</t>
  </si>
  <si>
    <t xml:space="preserve">SOM — TWB's addressable revenue ceiling at Year 15 (10% of GROWN Year-15 SAM)</t>
  </si>
  <si>
    <t xml:space="preserve">Note: earlier versions of this model compared TWB's Year-15 revenue against a STATIC 2026 SAM figure, which understates the real target — the market itself grows over 15 years (Ukraine reconstruction ramp, European rearmament, ammunition stockpile turnover, partly offset by a shrinking chemical weapons segment and near-flat humanitarian mine action funding). This page now grows each segment at its own rate and the SOM figure above uses the correctly grown Year-15 SAM as its base. See the reconciliation check at the bottom of the Revenue Build tab, which now compares TWB's bottom-up revenue against THIS grown figure, not the old static one.</t>
  </si>
  <si>
    <t xml:space="preserve">Segment-by-Segment Market Detail</t>
  </si>
  <si>
    <t xml:space="preserve">Full sourcing and logic behind each TAM line</t>
  </si>
  <si>
    <t xml:space="preserve">1. Humanitarian Mine Action</t>
  </si>
  <si>
    <t xml:space="preserve">Global humanitarian mine action (clearance, risk education, victim assistance)</t>
  </si>
  <si>
    <t xml:space="preserve">Size</t>
  </si>
  <si>
    <t xml:space="preserve">Global funding totaled $1.07 billion in 2024 — the second time annual mine action funding has surpassed $1 billion, a 4% increase from $1.03 billion in 2023. International donors provided $761 million; 26 affected states contributed a further $306.3 million to their own national programs (Landmine Monitor 2025).</t>
  </si>
  <si>
    <t xml:space="preserve">Donor concentration</t>
  </si>
  <si>
    <t xml:space="preserve">US, Germany, and the EU are the three largest donors. The five largest donors provided 62% ($468.8M) of international funding. This is a DONOR-FUNDED market, not a pure commercial market — contracts are typically won via competitive tender from governments, UN agencies (UNMAS), or NGOs (HALO Trust, MAG, GICHD) who hold the primary funding.</t>
  </si>
  <si>
    <t xml:space="preserve">Risk flag</t>
  </si>
  <si>
    <t xml:space="preserve">The US froze foreign assistance in Q1 2025, leading to termination of several humanitarian mine action programs, and international funding was already down 5% in 2024 vs 2023. This is a real headwind on the humanitarian side specifically — it is the reason the Ukraine-specific line below is modeled separately and conservatively.</t>
  </si>
  <si>
    <t xml:space="preserve">2. Military / Law Enforcement EOD Equipment &amp; Services</t>
  </si>
  <si>
    <t xml:space="preserve">Global commercial EOD market — equipment + services, defense and law enforcement end users</t>
  </si>
  <si>
    <t xml:space="preserve">Size (range across sources)</t>
  </si>
  <si>
    <t xml:space="preserve">Estimates vary materially by scope: equipment-only ranges $6.2-7.2bn (2025); equipment+services combined ranges $8.55-9.6bn (2025); one outlier source shows $5.69bn for equipment services only. This model uses a $9.0bn midpoint for the combined equipment+services TAM line.</t>
  </si>
  <si>
    <t xml:space="preserve">Segment mix</t>
  </si>
  <si>
    <t xml:space="preserve">Roughly 38% defense-driven procurement, ~34% law enforcement/counter-IED, ~28% robotics and remote-handling systems, per Global Growth Insights. EOD Robots segment alone is estimated at $2.75bn (2025), growing ~6.2% CAGR.</t>
  </si>
  <si>
    <t xml:space="preserve">Relevance to TWB</t>
  </si>
  <si>
    <t xml:space="preserve">This segment is the closest analog to TWB's existing small-arms/ordnance capability, and the most credible near-term expansion market: it already includes both military and police/law-enforcement end users, matching the stated domestic-to-military expansion path.</t>
  </si>
  <si>
    <t xml:space="preserve">3. Ammunition Demilitarization / Stockpile Destruction</t>
  </si>
  <si>
    <t xml:space="preserve">Large-format ammunition, ordnance, and stockpile destruction — MODELED, not separately market-sized by researchers</t>
  </si>
  <si>
    <t xml:space="preserve">Why modeled</t>
  </si>
  <si>
    <t xml:space="preserve">No market research house publishes a clean 'ammunition demilitarization market size' figure — it is usually bundled inside broader defense sustainment or EOD numbers, or handled via bespoke government contracts and framework agreements (e.g., NATO Partnership for Peace Trust Fund projects, US Conventional Ammunition Demilitarization program, European national stockpile rationalization following NATO-standard re-equipment).</t>
  </si>
  <si>
    <t xml:space="preserve">Sizing logic</t>
  </si>
  <si>
    <t xml:space="preserve">The global ammunition PRODUCTION market is estimated in the $25-90bn range across sources (wide variance by scope/methodology) — for context only, not used directly. Demil/disposal spend is a much smaller downstream tail of this. This model estimates it at roughly $2.5bn/year globally, built up from known individual program scale: NATO PfP Trust Fund projects have run in the tens of millions per country over multi-year programs; single-country stockpile disposal programs (e.g., legacy Warsaw Pact ammunition destruction in Eastern Europe) have historically run $10-50M per multi-year program. Aggregated across ~30-40 active/latent national programs globally, ~$2-3bn/year is a reasonable order-of-magnitude.</t>
  </si>
  <si>
    <t xml:space="preserve">Board flag</t>
  </si>
  <si>
    <t xml:space="preserve">This is the single largest 'trust me' number in the model, since no clean third-party market report exists. Recommend commissioning bespoke primary research (e.g., interviews with NATO Support and Procurement Agency, national MoD disposal units) before using this figure in external investor materials without caveat.</t>
  </si>
  <si>
    <t xml:space="preserve">4. Chemical Weapons Demilitarization</t>
  </si>
  <si>
    <t xml:space="preserve">Legacy CW stockpile destruction — now included as a phased, specialist revenue line (Year 10+)</t>
  </si>
  <si>
    <t xml:space="preserve">Modeled at ~$400M/year residual global spend — legacy programs (Syria, Libya, historical Russia/US stockpile destruction under CWC) are winding down or already complete; this is a shrinking, heavily government-controlled, specialist segment with very few commercial entrants and steep regulatory/licensing barriers (OPCW oversight).</t>
  </si>
  <si>
    <t xml:space="preserve">Market access</t>
  </si>
  <si>
    <t xml:space="preserve">Included in SAM at a 15% access factor (vs 55-65% for other segments) — reflecting that this market is structurally different: almost entirely government-to-government, tightly licensed under the Chemical Weapons Convention, and concentrated among a small number of state-sponsored or state-owned incumbents (e.g., national CW demil authorities, a handful of specialist contractors with existing OPCW certification).</t>
  </si>
  <si>
    <t xml:space="preserve">Entry path</t>
  </si>
  <si>
    <t xml:space="preserve">Modeled as TWB's latest and smallest phase of expansion (Year 10), entered only after the core EOD/mine action/ammunition demil business is established across Canada, the US, Europe, and Ukraine — realistically via a specific licensed capability, joint venture with an existing certified operator, or acquisition, not organic bid-and-win. Growth is modeled at a below-market 8%/year given the underlying global CW stockpile-destruction need is itself declining as legacy programs complete.</t>
  </si>
  <si>
    <t xml:space="preserve">Recommendation</t>
  </si>
  <si>
    <t xml:space="preserve">Treat as strategic optionality rather than a core growth pillar. If the board wants this to be a bigger part of the story, it likely requires a dedicated go-to-market decision (licensing strategy, partner identification) well before Year 10 — the current model does not assume any early groundwork toward this segment.</t>
  </si>
  <si>
    <t xml:space="preserve">5. Ukraine — Landmine/UXO Clearance (Incremental)</t>
  </si>
  <si>
    <t xml:space="preserve">The single largest identifiable near-term demand shock in this market</t>
  </si>
  <si>
    <t xml:space="preserve">Total programme size</t>
  </si>
  <si>
    <t xml:space="preserve">Current best estimate for full clearance of Ukraine is $29-31 billion (Ukraine Ministry of Economy RDNA4 assessment, Feb 2025: $29.8bn; most recent 2026 estimate: $31bn, down from an earlier World Bank estimate of $36-37bn due to improved technology and methodology). This is a ONE-TIME total capital need to clear ~139,000 km² of contaminated territory, not an annual figure.</t>
  </si>
  <si>
    <t xml:space="preserve">Annual economic cost of NOT clearing</t>
  </si>
  <si>
    <t xml:space="preserve">Ukraine's economy is estimated to lose $11 billion per year due to unexploded ordnance and mines — separate from the cost of clearing them, but useful context for why donor and Ukrainian government urgency is high despite funding constraints.</t>
  </si>
  <si>
    <t xml:space="preserve">Realistic annual disbursement</t>
  </si>
  <si>
    <t xml:space="preserve">Actual current government demining budget for 2026 is UAH 2 billion (~$45 million) — illustrating the huge gap between total need ($29-31bn) and current funding pace. This model uses $2.0bn/year as a MODELED estimate of realistic annual disbursement across all donors/programs (not just the Ukrainian government line), reflecting the scale-up expected as reconstruction financing (EU, World Bank, bilateral) comes online post-conflict, but still far below the theoretical 3-4 year full-clearance pace the $29-31bn total would imply if funded at speed.</t>
  </si>
  <si>
    <t xml:space="preserve">Contracting model</t>
  </si>
  <si>
    <t xml:space="preserve">Ukraine's Ministry of Economy runs a competitive tender process for demining contracts — operators bid, average cost is ~UAH 60,000/hectare (~$1,360), with prices up ~30% over two years as easier sites are exhausted and remaining contamination (trenches, cluster munitions, combined minefields) becomes harder. This is a genuinely commercial, contestable market — a strong entry point for TWB specifically because it is open to competitive international operators, unlike some domestic-only defense procurement.</t>
  </si>
  <si>
    <t xml:space="preserve">All figures on this tab flow into the TAM-SAM-SOM and Revenue Build tabs. Full citations: Sources tab.</t>
  </si>
  <si>
    <t xml:space="preserve">10-15 Year Revenue Forecast</t>
  </si>
  <si>
    <t xml:space="preserve">All figures $M unless noted. Year 0 = FY2026 (current state, &lt;$5M revenue). Yellow = assumption.</t>
  </si>
  <si>
    <t xml:space="preserve">PHASE GATES — geographic &amp; segment entry timing (modeled)</t>
  </si>
  <si>
    <t xml:space="preserve">Canada domestic (RCMP, police, provincial/federal) — existing base</t>
  </si>
  <si>
    <t xml:space="preserve">US market entry (EOD services, law enforcement)</t>
  </si>
  <si>
    <t xml:space="preserve">Europe/NATO expansion (EOD services + ammo demil)</t>
  </si>
  <si>
    <t xml:space="preserve">Ukraine market entry (competitive demining tenders)</t>
  </si>
  <si>
    <t xml:space="preserve">Middle East expansion (military ordnance destruction)</t>
  </si>
  <si>
    <t xml:space="preserve">Chemical weapons demil (specialist entry, later-phase)</t>
  </si>
  <si>
    <t xml:space="preserve">Metals recovery / restocking line — full commercial rollout</t>
  </si>
  <si>
    <t xml:space="preserve">CAPABILITY ROADMAP — what comes online each year, and why (plain-language view of the phase gates above)</t>
  </si>
  <si>
    <t xml:space="preserve">This table restates the phase gates above as a narrative: what capability, license, or market access TWB needs to add each year, and the prerequisite that gates it. All entries are MODELED planning assumptions.</t>
  </si>
  <si>
    <t xml:space="preserve">Year</t>
  </si>
  <si>
    <t xml:space="preserve">Milestone</t>
  </si>
  <si>
    <t xml:space="preserve">Prerequisite / dependency</t>
  </si>
  <si>
    <t xml:space="preserve">Y0-1</t>
  </si>
  <si>
    <t xml:space="preserve">Consolidate Canadian base: deepen existing RCMP/police/provincial and federal small-arms and ammunition destruction contracts (building on TWB's established eMACS/MACS platform, in use with the RCMP since 2001); stand up metals recovery as a commercial line (not just disposal) on the existing Canadian book.</t>
  </si>
  <si>
    <t xml:space="preserve">→ No new licensing required — this is operational maturity on the existing business. Metals recovery requires negotiating recovery-rights language into existing/renewed Canadian contracts and securing smelter/refiner offtake relationships.</t>
  </si>
  <si>
    <t xml:space="preserve">US market entry: EOD services and law-enforcement destruction contracts, leveraging the existing eMACS/MACS product already built to meet or exceed California EPA emissions standards.</t>
  </si>
  <si>
    <t xml:space="preserve">→ The most natural first international expansion for a Canadian operator — no ITAR foreign-ownership barrier applies the way it would for a non-North-American entrant, and TWB's equipment is already positioned against California EPA standards, ahead of most US state environmental requirements. Still requires US state-level environmental/destruction licensing and law-enforcement agency relationship-building, but this is a permitting and sales-cycle problem, not a structural market-access barrier — the single biggest strategic advantage of TWB's Canadian base versus a UK or EU competitor eyeing the US.</t>
  </si>
  <si>
    <t xml:space="preserve">Europe/NATO market entry: first framework-level EOD services and ammunition demil contracts.</t>
  </si>
  <si>
    <t xml:space="preserve">→ Requires EU/NATO-recognized certifications and licensing distinct from the Canada/US regulatory base, plus a reference-able North American track record (Canada + early US wins) to bid credibly — sequenced after US entry since Europe requires a genuinely new certification base rather than leveraging existing standards compliance.</t>
  </si>
  <si>
    <t xml:space="preserve">Ukraine market entry: qualify as an international operator in Ukraine's competitive demining tender process.</t>
  </si>
  <si>
    <t xml:space="preserve">→ Requires Ukrainian government accreditation/registration as a demining operator, in-country operational capability (personnel, equipment, insurance for a live conflict/post-conflict zone), and is realistically sequenced after Europe entry so TWB is bidding with an established international track record, not as a first-time international entrant.</t>
  </si>
  <si>
    <t xml:space="preserve">Middle East expansion: military ordnance destruction contracts.</t>
  </si>
  <si>
    <t xml:space="preserve">→ Requires government-to-government relationship building and country-specific licensing; sequenced last among the core geographies given the added complexity, and only pursued once TWB has demonstrated delivery at scale in at least two other regions.</t>
  </si>
  <si>
    <t xml:space="preserve">Chemical weapons demilitarization: enter as a specialist, licensed contributor to a small number of remaining government-run CW demil programs.</t>
  </si>
  <si>
    <t xml:space="preserve">→ Requires OPCW-compliant licensing and government sponsorship — realistically only achievable via partnership/JV with an already-certified operator, or acquisition of one. This is optionality, not a core growth pillar (see Segment Detail tab) — the board should treat this as something to scope in Year 7-8 if it is to be ready by Year 10, not something that happens by default.</t>
  </si>
  <si>
    <t xml:space="preserve">REVENUE BY SEGMENT ($M)</t>
  </si>
  <si>
    <t xml:space="preserve">Canada domestic — RCMP, police &amp; provincial/federal destruction (existing line)</t>
  </si>
  <si>
    <t xml:space="preserve">US — EOD services &amp; law enforcement destruction contracts</t>
  </si>
  <si>
    <t xml:space="preserve">Europe/NATO — EOD services &amp; ammunition demil contracts</t>
  </si>
  <si>
    <t xml:space="preserve">Ukraine — competitive demining &amp; UXO clearance tenders</t>
  </si>
  <si>
    <t xml:space="preserve">Middle East — military ordnance destruction contracts</t>
  </si>
  <si>
    <t xml:space="preserve">Chemical weapons demil — specialist government-to-government contracts</t>
  </si>
  <si>
    <t xml:space="preserve">Subtotal — phased-entry destruction/EOD/demining services revenue</t>
  </si>
  <si>
    <t xml:space="preserve">ACQUISITION PROGRAM ($M) — investment/M&amp;A assumptions feeding into total revenue below</t>
  </si>
  <si>
    <t xml:space="preserve">The phased contract-win build above, on its own, reaches roughly $510-515M by Year 15 — well short of the $1.09bn needed for 10% share of the grown Year-15 SAM. Reaching the 10% target requires an explicit, funded acquisition program as well, not just contract wins. This section models that program's inputs — deal count, size, timing, post-acquisition growth — which then feed directly into the single TOTAL TWB REVENUE line below (acquired revenue is not tracked as a separate reported stream past this point; it is simply part of total revenue and total growth from the year each deal closes onward). All figures here are MODELED planning assumptions, not commitments to specific targets.</t>
  </si>
  <si>
    <t xml:space="preserve">Acquisition assumption</t>
  </si>
  <si>
    <t xml:space="preserve">Value</t>
  </si>
  <si>
    <t xml:space="preserve">Number of acquisitions over 15 years</t>
  </si>
  <si>
    <t xml:space="preserve">Average acquired revenue at entry ($M, modeled)</t>
  </si>
  <si>
    <t xml:space="preserve">Post-acquisition growth rate for acquired revenue (modeled)</t>
  </si>
  <si>
    <t xml:space="preserve">Acquisition timing and entry-year contribution (modeled — phased to match the Capability Roadmap above)</t>
  </si>
  <si>
    <t xml:space="preserve">Deal closes this year (1 = yes)</t>
  </si>
  <si>
    <t xml:space="preserve">Acquired revenue added this year ($M)</t>
  </si>
  <si>
    <t xml:space="preserve">Cumulative acquired revenue, compounding at post-acquisition growth rate</t>
  </si>
  <si>
    <t xml:space="preserve">Cumulative deal spend to date (revenue added at each entry x illustrative 1.2x revenue multiple)</t>
  </si>
  <si>
    <t xml:space="preserve">METALS RECOVERY / RESTOCKING REVENUE ($M)</t>
  </si>
  <si>
    <t xml:space="preserve">Metals recovery revenue (see Metals Recovery tab for build)</t>
  </si>
  <si>
    <t xml:space="preserve">Note: applied to the phased-entry service revenue base above. Newly-acquired businesses may already have their own metals recovery economics built into their contributed revenue — modeling this cleanly requires knowing what each target already captures pre-diligence. Treat this line as conservative for that reason: real upside exists if acquired businesses are integrated onto TWB's metals recovery relationships post-close.</t>
  </si>
  <si>
    <t xml:space="preserve">TOTAL TWB REVENUE ($M)</t>
  </si>
  <si>
    <t xml:space="preserve">YoY growth %</t>
  </si>
  <si>
    <t xml:space="preserve">Cross-check vs SOM ceiling (TAM-SAM-SOM tab — using the GROWN Year-15 SAM):</t>
  </si>
  <si>
    <t xml:space="preserve">SOM ceiling — 10% of the GROWN Year-15 SAM (TAM-SAM-SOM tab)</t>
  </si>
  <si>
    <t xml:space="preserve">For reference — Year-15 SAM itself (grown, before applying the 10% share)</t>
  </si>
  <si>
    <t xml:space="preserve">Total Year-15 revenue (this tab)</t>
  </si>
  <si>
    <t xml:space="preserve">Implied share of the GROWN Year-15 SAM achieved</t>
  </si>
  <si>
    <t xml:space="preserve">RECONCILIATION CHECK: this build now hits the 10% target because it explicitly includes an acquisition program, not because organic growth alone got there. Organic contract wins (plus metals recovery) reach roughly $510-515M by Year 15 on their own — a real, substantial business, but only about half the $1.09bn needed for 10% share of the grown market. The remaining ~$570M comes from seven modeled acquisitions, front-loaded into Years 2-12 (three of the seven in Years 2-4 alone), each contributing revenue at entry that then compounds at 15%/year post-acquisition. This means the 10% target is fundamentally an INVESTMENT AND M&amp;A EXECUTION STORY, not a sales-execution story — the board's key decisions are (a) whether TWB can raise/deploy the acquisition capital implied by the deal-spend line above, particularly early and at pace, (b) whether seven suitable targets exist and can be identified/won at the assumed average size ($18M) and multiple, and (c) whether TWB can integrate acquired businesses fast enough, especially the earliest ones, to sustain the assumed 15%/year post-acquisition growth rate. Flex the acquisition assumptions block above directly to stress-test this — the front-loaded timing is the single most load-bearing assumption in the whole plan.</t>
  </si>
  <si>
    <t xml:space="preserve">Metals Recovery / Domestic Restocking Revenue Logic</t>
  </si>
  <si>
    <t xml:space="preserve">The 'turning post-mission issues into metals to support restocking of domestic metals units' revenue line</t>
  </si>
  <si>
    <t xml:space="preserve">SOURCED — current scrap metal reference prices (Aug 2026)</t>
  </si>
  <si>
    <t xml:space="preserve">Metal</t>
  </si>
  <si>
    <t xml:space="preserve">Price range</t>
  </si>
  <si>
    <t xml:space="preserve">Basis</t>
  </si>
  <si>
    <t xml:space="preserve">Brass (shell casings — clean yellow brass)</t>
  </si>
  <si>
    <t xml:space="preserve">$1.90 - $3.70 / lb</t>
  </si>
  <si>
    <t xml:space="preserve">Wide range across trackers/regions; follows copper+zinc prices. $3.30-3.70/lb quoted mid-2026 by one tracker; $1.90-2.10/lb by another (Aug 2026) — regional/grade variance is real.</t>
  </si>
  <si>
    <t xml:space="preserve">Steel (ferrous — cases, large-format components)</t>
  </si>
  <si>
    <t xml:space="preserve">$100 - $165 / gross ton</t>
  </si>
  <si>
    <t xml:space="preserve">Low $/lb but highest tonnage; no single global benchmark, set by regional mill buying programs.</t>
  </si>
  <si>
    <t xml:space="preserve">Copper (where present — wiring, some components)</t>
  </si>
  <si>
    <t xml:space="preserve">$2.40 - $6.60 / lb</t>
  </si>
  <si>
    <t xml:space="preserve">COMEX benchmark ~$6.60/lb (Aug 2026); scrap yards pay a discount to benchmark, typically netting $2.40-3.70/lb for mixed/dirty grades.</t>
  </si>
  <si>
    <t xml:space="preserve">Aluminum (where present)</t>
  </si>
  <si>
    <t xml:space="preserve">$0.55 - $0.82 / lb</t>
  </si>
  <si>
    <t xml:space="preserve">Lower-value stream, present in some ordnance/equipment casings.</t>
  </si>
  <si>
    <t xml:space="preserve">MODELED — revenue conversion logic</t>
  </si>
  <si>
    <t xml:space="preserve">Metals recovery is modeled as a REVENUE SHARE MULTIPLIER on top of destruction/demil services revenue, not sized independently bottom-up (tonnage-level throughput data isn't available at this stage of planning). This should be replaced with a bottom-up tonnage x price model once TWB has real throughput data from its own operations.</t>
  </si>
  <si>
    <t xml:space="preserve">Assumption: recovered metals revenue as % of underlying destruction services revenue</t>
  </si>
  <si>
    <t xml:space="preserve">Why this matters strategically (not just financially):</t>
  </si>
  <si>
    <t xml:space="preserve">  •  Metals recovery converts a cost center (secure disposal) into a revenue center — most competitors in pure EOD/demining treat destroyed material as waste with a disposal COST, not a recovery REVENUE.</t>
  </si>
  <si>
    <t xml:space="preserve">  •  It creates a genuine domestic supply-chain narrative — 'post-mission material becomes feedstock for domestic metals units' is a strong sovereignty/resilience pitch to government and defense buyers (Canadian, US, and European alike), particularly relevant given current North American and European focus on supply chain security for defense manufacturing inputs.</t>
  </si>
  <si>
    <t xml:space="preserve">  •  It's a natural moat: competitors without smelting/refining relationships or recovery-rights contract language can't easily replicate this margin, even if they can replicate the destruction service itself.</t>
  </si>
  <si>
    <t xml:space="preserve">Recommendation before finalizing for investor materials:</t>
  </si>
  <si>
    <t xml:space="preserve">Replace the 14% revenue-share placeholder with a bottom-up model once TWB has: (1) actual tonnage-per-contract data from current operations, (2) confirmed contract language on material recovery rights (many government destruction contracts specify the disposal method AND ownership of recovered material — this varies a lot by customer and jurisdiction), and (3) confirmed smelter/refiner offtake pricing (which will be below the retail scrap prices shown above).</t>
  </si>
  <si>
    <t xml:space="preserve">Headcount Forecast</t>
  </si>
  <si>
    <t xml:space="preserve">FTE by function, implied by the Revenue Build tab. All MODELED (revenue-per-FTE benchmarks).</t>
  </si>
  <si>
    <t xml:space="preserve">Revenue-per-FTE benchmarks (modeled, by function)</t>
  </si>
  <si>
    <t xml:space="preserve">These are planning assumptions, not sourced benchmarks for this specific niche industry (no clean public data exists for revenue/FTE in secure destruction specifically) — cross-checked loosely against defense services and environmental/industrial services comparables, which typically run $150-300k revenue/FTE for field-operations-heavy businesses.</t>
  </si>
  <si>
    <t xml:space="preserve">Function</t>
  </si>
  <si>
    <t xml:space="preserve">Rev/FTE ($k, modeled)</t>
  </si>
  <si>
    <t xml:space="preserve">Field operations — EOD/demining technicians &amp; teams</t>
  </si>
  <si>
    <t xml:space="preserve">Metals recovery / processing operations</t>
  </si>
  <si>
    <t xml:space="preserve">Business development, contracts &amp; tendering</t>
  </si>
  <si>
    <t xml:space="preserve">Program/project management</t>
  </si>
  <si>
    <t xml:space="preserve">QHSE, compliance, licensing/export control</t>
  </si>
  <si>
    <t xml:space="preserve">Corporate — finance, HR, leadership, admin</t>
  </si>
  <si>
    <t xml:space="preserve">FTE mix by function (% of total headcount, modeled — shifts toward field ops as scale grows)</t>
  </si>
  <si>
    <t xml:space="preserve">Field operations</t>
  </si>
  <si>
    <t xml:space="preserve">Metals recovery / processing</t>
  </si>
  <si>
    <t xml:space="preserve">BD, contracts &amp; tendering</t>
  </si>
  <si>
    <t xml:space="preserve">Corporate</t>
  </si>
  <si>
    <t xml:space="preserve">Blended revenue/FTE ($k) — applies to ORGANIC + metals revenue only (see note below on acquired headcount)</t>
  </si>
  <si>
    <t xml:space="preserve">Acquired-company revenue/FTE ($k, modeled — typically LOWER than TWB's blended organic ratio)</t>
  </si>
  <si>
    <t xml:space="preserve">IMPLIED HEADCOUNT</t>
  </si>
  <si>
    <t xml:space="preserve">Blended revenue/FTE for the year, weighted by the acquisition program's share of total revenue</t>
  </si>
  <si>
    <t xml:space="preserve">Total FTE</t>
  </si>
  <si>
    <t xml:space="preserve">Headcount by function (FTE)</t>
  </si>
  <si>
    <t xml:space="preserve">  Field operations</t>
  </si>
  <si>
    <t xml:space="preserve">  Metals recovery / processing</t>
  </si>
  <si>
    <t xml:space="preserve">  BD, contracts &amp; tendering</t>
  </si>
  <si>
    <t xml:space="preserve">  Program/project management</t>
  </si>
  <si>
    <t xml:space="preserve">  QHSE, compliance, licensing/export control</t>
  </si>
  <si>
    <t xml:space="preserve">  Corporate</t>
  </si>
  <si>
    <t xml:space="preserve">Sanity check — Year 15 total FTE and revenue/FTE:</t>
  </si>
  <si>
    <t xml:space="preserve">Year 15 TOTAL FTE:</t>
  </si>
  <si>
    <t xml:space="preserve">Year 15 revenue ($M):</t>
  </si>
  <si>
    <t xml:space="preserve">Implied blended revenue/FTE across whole business ($k):</t>
  </si>
  <si>
    <t xml:space="preserve">NOTE: this headcount total blends organically-grown and acquisition-transferred staff into a single figure. Acquired businesses bring their own existing employees at close, so the growth in headcount is not the same as TWB organic hiring — the blended revenue/FTE ratio above is intentionally weighted down each year in proportion to how much of that year's revenue comes from the acquisition program, to keep the total honest even though it isn't broken out as a separate line. See the Acquisition Program section on the Revenue Build tab for the underlying deal assumptions driving this.</t>
  </si>
  <si>
    <t xml:space="preserve">Scenario Summary — Base / Upside / Downside</t>
  </si>
  <si>
    <t xml:space="preserve">Manually computed scenario table (adjust the Revenue Build tab assumptions and re-read these outputs for a live re-run)</t>
  </si>
  <si>
    <t xml:space="preserve">This tab summarizes three scenarios built by flexing the key MODELED levers. To actually re-run a scenario, adjust the yellow cells on Revenue Build, TAM-SAM-SOM, and Metals Recovery tabs directly, then update this table's Year-15 outputs by hand or by re-pointing the formulas below to a duplicated Revenue Build tab per scenario.</t>
  </si>
  <si>
    <t xml:space="preserve">Key levers and their scenario settings</t>
  </si>
  <si>
    <t xml:space="preserve">Lever</t>
  </si>
  <si>
    <t xml:space="preserve">Downside</t>
  </si>
  <si>
    <t xml:space="preserve">Base (this model)</t>
  </si>
  <si>
    <t xml:space="preserve">Upside</t>
  </si>
  <si>
    <t xml:space="preserve">Year-15 share of GROWN SAM (target)</t>
  </si>
  <si>
    <t xml:space="preserve">5%</t>
  </si>
  <si>
    <t xml:space="preserve">10% (~$1.08bn — see Revenue Build tab)</t>
  </si>
  <si>
    <t xml:space="preserve">16%</t>
  </si>
  <si>
    <t xml:space="preserve">3 (deal pipeline dries up / capital constrained)</t>
  </si>
  <si>
    <t xml:space="preserve">7</t>
  </si>
  <si>
    <t xml:space="preserve">11 (faster-than-planned consolidation)</t>
  </si>
  <si>
    <t xml:space="preserve">Average acquired revenue at entry</t>
  </si>
  <si>
    <t xml:space="preserve">$10M (smaller bolt-ons only)</t>
  </si>
  <si>
    <t xml:space="preserve">$18M</t>
  </si>
  <si>
    <t xml:space="preserve">$28M (larger platform deals available)</t>
  </si>
  <si>
    <t xml:space="preserve">Post-acquisition growth rate</t>
  </si>
  <si>
    <t xml:space="preserve">6% (integration drags, target underperforms)</t>
  </si>
  <si>
    <t xml:space="preserve">15%</t>
  </si>
  <si>
    <t xml:space="preserve">20% (strong integration, cross-sell wins)</t>
  </si>
  <si>
    <t xml:space="preserve">Acquisition timing</t>
  </si>
  <si>
    <t xml:space="preserve">Back-loaded — first deal not until Year 5</t>
  </si>
  <si>
    <t xml:space="preserve">Front-loaded — 3 of 7 deals in Years 2-4</t>
  </si>
  <si>
    <t xml:space="preserve">Even earlier — first deal Year 1</t>
  </si>
  <si>
    <t xml:space="preserve">Europe/NATO organic mature-year growth rate</t>
  </si>
  <si>
    <t xml:space="preserve">10%</t>
  </si>
  <si>
    <t xml:space="preserve">26%</t>
  </si>
  <si>
    <t xml:space="preserve">34%</t>
  </si>
  <si>
    <t xml:space="preserve">Ukraine market entry timing</t>
  </si>
  <si>
    <t xml:space="preserve">Year 5 (delayed — funding crisis persists)</t>
  </si>
  <si>
    <t xml:space="preserve">Year 3</t>
  </si>
  <si>
    <t xml:space="preserve">Year 2 (accelerated reconstruction financing)</t>
  </si>
  <si>
    <t xml:space="preserve">US market entry timing</t>
  </si>
  <si>
    <t xml:space="preserve">Year 3 (state licensing/relationship-building takes longer than expected)</t>
  </si>
  <si>
    <t xml:space="preserve">Year 1</t>
  </si>
  <si>
    <t xml:space="preserve">Year 1, faster ramp (existing California EPA-aligned eMACS platform accelerates state approvals)</t>
  </si>
  <si>
    <t xml:space="preserve">Metals recovery revenue share (organic)</t>
  </si>
  <si>
    <t xml:space="preserve">6% (recovery rights rarely granted)</t>
  </si>
  <si>
    <t xml:space="preserve">14%</t>
  </si>
  <si>
    <t xml:space="preserve">22%</t>
  </si>
  <si>
    <t xml:space="preserve">Approximate Year-15 outcomes (directional — see note above on how to re-run precisely)</t>
  </si>
  <si>
    <t xml:space="preserve">Metric</t>
  </si>
  <si>
    <t xml:space="preserve">Base</t>
  </si>
  <si>
    <t xml:space="preserve">Year-15 TOTAL revenue ($M)</t>
  </si>
  <si>
    <t xml:space="preserve">450-550 (~4-5% SAM share)</t>
  </si>
  <si>
    <t xml:space="preserve">~1,083 (~10% SAM share — see Revenue Build tab)</t>
  </si>
  <si>
    <t xml:space="preserve">2,100-2,700 (~19-25% SAM share)</t>
  </si>
  <si>
    <t xml:space="preserve">Year-15 TOTAL FTE</t>
  </si>
  <si>
    <t xml:space="preserve">1,300-2,000</t>
  </si>
  <si>
    <t xml:space="preserve">~5,300 (see Headcount &amp; Ops tab)</t>
  </si>
  <si>
    <t xml:space="preserve">9,500-13,000</t>
  </si>
  <si>
    <t xml:space="preserve">Primary risk driver</t>
  </si>
  <si>
    <t xml:space="preserve">M&amp;A pipeline fails to materialize at pace/size; acquired businesses underperform post-close; contract wins in Europe/Ukraine also disappoint</t>
  </si>
  <si>
    <t xml:space="preserve">Deal pipeline executes roughly to plan; contract-win base holds</t>
  </si>
  <si>
    <t xml:space="preserve">TWB becomes a recognized consolidator, target companies come to TWB, integration playbook compounds with each deal</t>
  </si>
  <si>
    <t xml:space="preserve">Read for the board:</t>
  </si>
  <si>
    <t xml:space="preserve">This plan blends contract-win growth with an explicit, funded acquisition program — hitting the 10%-of-grown-SAM target ($1.08bn) requires both. Contract wins across Canada/US/Europe/Ukraine/Middle East/chem-weapons reach a real, substantial base on their own, but only get roughly halfway to the target; the acquisition program (seven modeled deals, most of them in the first half of the plan) closes the remainder. Two consequences worth sitting with: (1) capital requirements are front-loaded — the board needs to be ready to fund and execute 3+ acquisitions in Years 2-4 alone, well before the contract-win business has fully proven itself at scale, and (2) a large share of Year-15 headcount arrives via acquisition rather than organic hiring — see the Headcount &amp; Ops tab for how the blended revenue/FTE ratio accounts for this without breaking it into a separate reported line.</t>
  </si>
  <si>
    <t xml:space="preserve">On market growth: the market itself grows over 15 years too (Ukraine reconstruction ramp, European rearmament, ammunition stockpile turnover, partly offset by a shrinking chemical weapons segment) — Year-15 SAM is modeled at ~$10.9bn, roughly double today's $5.2bn. The 10% target is measured against that grown figure, which is why it requires ~$1.08bn rather than the ~$523M a static-2026-market version of this model would have implied.</t>
  </si>
  <si>
    <t xml:space="preserve">The single most important number on this whole tab is the acquisition timing assumption (Revenue Build tab): deals made early compound for many years at the post-acquisition growth rate; deals made late barely contribute. If real-world M&amp;A execution runs even one to two years behind the modeled pace, the Year-15 total falls well short of 10% share even if the eventual deal count and average size are hit — pace matters as much as volume.</t>
  </si>
  <si>
    <t xml:space="preserve">Sources</t>
  </si>
  <si>
    <t xml:space="preserve">Every SOURCED figure used in this model, with citation and access date</t>
  </si>
  <si>
    <t xml:space="preserve">Figure used</t>
  </si>
  <si>
    <t xml:space="preserve">Source</t>
  </si>
  <si>
    <t xml:space="preserve">Date</t>
  </si>
  <si>
    <t xml:space="preserve">TWB Designs Inc — Canadian company (Ancaster, Ontario), eMACS/MACS ammunition destruction system</t>
  </si>
  <si>
    <t xml:space="preserve">twbdesigns.com</t>
  </si>
  <si>
    <t xml:space="preserve">Aug 2026</t>
  </si>
  <si>
    <t xml:space="preserve">eMACS/MACS co-developed with RCMP, in use since 2001; RCMP, various police forces and munitions plants as customers</t>
  </si>
  <si>
    <t xml:space="preserve">officer.com product listing; cadsammunitiondisposal.com</t>
  </si>
  <si>
    <t xml:space="preserve">2011 / Aug 2026</t>
  </si>
  <si>
    <t xml:space="preserve">eMACS built to meet or exceed California EPA, NATO and EU emissions standards</t>
  </si>
  <si>
    <t xml:space="preserve">rocketreach.co company profile citing twbdesigns.com</t>
  </si>
  <si>
    <t xml:space="preserve">Global mine action funding: $1.07bn (2024)</t>
  </si>
  <si>
    <t xml:space="preserve">Landmine Monitor 2025, the-monitor.org/online-reader/landmine-monitor-2025</t>
  </si>
  <si>
    <t xml:space="preserve">Feb 2026</t>
  </si>
  <si>
    <t xml:space="preserve">International vs national mine action funding split</t>
  </si>
  <si>
    <t xml:space="preserve">Landmine Monitor 2025</t>
  </si>
  <si>
    <t xml:space="preserve">Top mine action donors (US, Germany, EU)</t>
  </si>
  <si>
    <t xml:space="preserve">US foreign assistance freeze Q1 2025 impact on mine action</t>
  </si>
  <si>
    <t xml:space="preserve">ICBL-CMC, Landmine Monitor 2025 summary, icblcmc.org</t>
  </si>
  <si>
    <t xml:space="preserve">EOD equipment+services market: $8.55bn (2025)</t>
  </si>
  <si>
    <t xml:space="preserve">Global Growth Insights, globalgrowthinsights.com/market-reports/explosive-ordnance-disposal-eod-market-109006</t>
  </si>
  <si>
    <t xml:space="preserve">EOD equipment+services market: $9.6bn (2025)</t>
  </si>
  <si>
    <t xml:space="preserve">Spherical Insights, sphericalinsights.com</t>
  </si>
  <si>
    <t xml:space="preserve">Apr 2026</t>
  </si>
  <si>
    <t xml:space="preserve">EOD equipment-only market: $6.24-7.2bn (2025)</t>
  </si>
  <si>
    <t xml:space="preserve">The Business Research Company / DataIntelo market reports</t>
  </si>
  <si>
    <t xml:space="preserve">2026</t>
  </si>
  <si>
    <t xml:space="preserve">EOD services-only market: $1.18bn (2025)</t>
  </si>
  <si>
    <t xml:space="preserve">Intel Market Research, intelmarketresearch.com</t>
  </si>
  <si>
    <t xml:space="preserve">Ukraine total demining cost: $29.8bn (RDNA4)</t>
  </si>
  <si>
    <t xml:space="preserve">Ukraine Ministry of Economy, cited in Ukrainska Pravda, Feb 27 2025</t>
  </si>
  <si>
    <t xml:space="preserve">Feb 2025</t>
  </si>
  <si>
    <t xml:space="preserve">Ukraine total demining cost: $31bn (current, down from $36bn)</t>
  </si>
  <si>
    <t xml:space="preserve">Geneva Solutions, genevasolutions.news</t>
  </si>
  <si>
    <t xml:space="preserve">Apr 2025</t>
  </si>
  <si>
    <t xml:space="preserve">Ukraine total demining cost: $37bn (World Bank)</t>
  </si>
  <si>
    <t xml:space="preserve">TIME, MAG (Mines Advisory Group), World Bank estimate</t>
  </si>
  <si>
    <t xml:space="preserve">2023-2024</t>
  </si>
  <si>
    <t xml:space="preserve">Ukraine annual economic loss from mines: $11bn/year</t>
  </si>
  <si>
    <t xml:space="preserve">Euromaidan Press interview with Deputy Minister Bezkaravainyi</t>
  </si>
  <si>
    <t xml:space="preserve">May 2026</t>
  </si>
  <si>
    <t xml:space="preserve">Ukraine 2026 state demining budget: UAH 2bn (~$45M)</t>
  </si>
  <si>
    <t xml:space="preserve">Euromaidan Press</t>
  </si>
  <si>
    <t xml:space="preserve">Ukraine demining cost: ~$1,360/hectare, prices up 30% in 2 yrs</t>
  </si>
  <si>
    <t xml:space="preserve">Scrap brass price: $1.90-3.70/lb</t>
  </si>
  <si>
    <t xml:space="preserve">metalcharts.org/scrap-metal-prices; okonrecycling.com</t>
  </si>
  <si>
    <t xml:space="preserve">Aug 2026 / Jul 2026</t>
  </si>
  <si>
    <t xml:space="preserve">Scrap steel price: $100-165/gross ton</t>
  </si>
  <si>
    <t xml:space="preserve">okonrecycling.com</t>
  </si>
  <si>
    <t xml:space="preserve">Sep 2025</t>
  </si>
  <si>
    <t xml:space="preserve">COMEX copper / LME aluminum benchmarks</t>
  </si>
  <si>
    <t xml:space="preserve">metalcharts.org/scrap-metal-prices</t>
  </si>
  <si>
    <t xml:space="preserve">Iraq reconstruction total: ~$51bn, $8bn of $60bn wasted</t>
  </si>
  <si>
    <t xml:space="preserve">VOA / Center for Public Integrity, referencing SIGIR (Stuart Bowen) reporting</t>
  </si>
  <si>
    <t xml:space="preserve">2009 / 2022</t>
  </si>
  <si>
    <t xml:space="preserve">US conventional weapons destruction spend in Iraq: $300M+ since 2003</t>
  </si>
  <si>
    <t xml:space="preserve">US Department of State, 2017-2021 archive</t>
  </si>
  <si>
    <t xml:space="preserve">2020</t>
  </si>
  <si>
    <t xml:space="preserve">TWB Designs + CADS combined actual financials: 2025 revenue $862,856 CAD, EBITDA ~$235,000 CAD, book value $580,329 CAD, cash $199,098 CAD, effectively debt-free</t>
  </si>
  <si>
    <t xml:space="preserve">Compiled (unaudited) financial statements, Steve Herman Accounting, for CADS and TWB Designs Inc., FY2023-2025</t>
  </si>
  <si>
    <t xml:space="preserve">Compiled 2026</t>
  </si>
  <si>
    <t xml:space="preserve">CADS + TWB Designs acquisition offer: $700,000 CAD for both companies (equipment, IP, MOE approvals)</t>
  </si>
  <si>
    <t xml:space="preserve">Seller correspondence (Tom Braithwaite), reviewed July 2026</t>
  </si>
  <si>
    <t xml:space="preserve">Jul 2026</t>
  </si>
  <si>
    <t xml:space="preserve">Public A&amp;D services EV/EBITDA: 11.4x (Q3 2025)</t>
  </si>
  <si>
    <t xml:space="preserve">Objective Investment Banking &amp; Valuation, cited in Iconic</t>
  </si>
  <si>
    <t xml:space="preserve">Private/strategic A&amp;D deal EV/EBITDA: 18.96x-19x median (Q2 2026)</t>
  </si>
  <si>
    <t xml:space="preserve">PCE Investment Bankers, cited in Iconic</t>
  </si>
  <si>
    <t xml:space="preserve">Cadre Holdings (NYSE: CDRE): $1.46bn market cap, $685.65M TTM revenue, ~2.1x EV/Revenue, P/E ~41.8x</t>
  </si>
  <si>
    <t xml:space="preserve">stockanalysis.com/stocks/cdre</t>
  </si>
  <si>
    <t xml:space="preserve">American Battery Technology Co. (NASDAQ: ABAT): ~$380-430M enterprise value, ~$9.45M TTM revenue, ~40.3x EV/Sales, negative EBITDA</t>
  </si>
  <si>
    <t xml:space="preserve">fullratio.com; tradingview.com; wallstreetzen.com</t>
  </si>
  <si>
    <t xml:space="preserve">Note on MODELED (unsourced) figures:</t>
  </si>
  <si>
    <t xml:space="preserve">Ammunition demilitarization market size ($2.5bn/yr), chemical weapons demil ($400M/yr), Ukraine realistic annual disbursement ($2.0bn/yr), all SAM adjustment factors, the Year-15 SAM share target (10%), the metals recovery revenue share (14%), and all revenue-per-FTE benchmarks are modeled/estimated by this exercise, not pulled from third-party published sources — no clean public market sizing exists for these specific figures. Each is flagged in yellow on its originating tab with the reasoning behind the estimate. Recommend validating the largest of these (ammunition demil market size, and Year-15 SAM share) with primary research or industry expert interviews before finalizing external investor materials.</t>
  </si>
  <si>
    <t xml:space="preserve">Illustrative 2027 Go-Public Valuation — Growth-Stage SPAC/IPO Methodology</t>
  </si>
  <si>
    <t xml:space="preserve">Standard growth-stage go-public valuation methodology (comp universe, EV/EBITDA multiples, discounted future value) applied to TWB's real starting financials and Year-10 operating model output.</t>
  </si>
  <si>
    <t xml:space="preserve">METHODOLOGY OVERVIEW (READ THIS FIRST)</t>
  </si>
  <si>
    <t xml:space="preserve">Growth-stage companies going public via SPAC merger, direct listing, or IPO in capital-intensive, government/industrial-facing sectors (metals recycling, critical minerals, specialty manufacturing, defense services) are typically valued using a small, standard set of methods: (1) build a comp universe of named public companies across relevant categories; (2) take the median EV/EBITDA multiple of that universe; (3) apply it to the company's own FUTURE (not current) EBITDA estimate to get a future firm value; (4) discount that future firm value back to today at a specified discount rate over the years remaining until that future point; (5) compare the result to an actual or illustrative deal price to show it as a discount (or premium) to computed fair value. This tab builds that exact bridge for TWB, using the 10-year point in the operating model as the projection horizon.</t>
  </si>
  <si>
    <t xml:space="preserve">CRITICAL CONTEXT: this entire class of valuation approach is built on PITCHED forward guidance and a FUTURE profitability estimate, not audited actuals. That is standard practice for growth-stage go-public deals in these sectors, but it is also exactly the mechanism that has produced some of the most dramatic valuation-to-outcome gaps in recent capital markets history — richly-priced, pre-revenue growth stories in adjacent sectors (metals/battery recycling, critical minerals) have in some cases gone on to miss their own near-term guidance by wide margins, post large losses, cut staff, and in at least one prominent case filed for bankruptcy protection within several years of a SPAC listing priced this way. This is not a hedge to skim past — it is the central lesson of using this framework at all: a valuation built on steep forward guidance and a discounted future estimate can produce an eye-catching headline number that has no necessary relationship to what the company is actually worth once real results arrive. Every number on this tab should be read as 'what a well-constructed comp-based pitch would say,' not as a prediction of TWB's actual value in 2036.</t>
  </si>
  <si>
    <t xml:space="preserve">SECTION 1 — TWB today: actual combined financials (SOURCED, compiled financial statements)</t>
  </si>
  <si>
    <t xml:space="preserve">Real combined financials for TWB Designs Inc. and Canadian Ammunition Disposal Services Inc. (CADS), the two entities behind the current business, per compiled (unaudited) financial statements. This is the true starting point — smaller than the modeled Year-0 base used in the 15-year Revenue Build tab, which is treated as an aspirational pro-forma growth case built on TOP OF this real base, not a replacement for it.</t>
  </si>
  <si>
    <t xml:space="preserve">($CAD)</t>
  </si>
  <si>
    <t xml:space="preserve">2023</t>
  </si>
  <si>
    <t xml:space="preserve">2024</t>
  </si>
  <si>
    <t xml:space="preserve">2025</t>
  </si>
  <si>
    <t xml:space="preserve">CADS revenue</t>
  </si>
  <si>
    <t xml:space="preserve">TWB Designs revenue</t>
  </si>
  <si>
    <t xml:space="preserve">Combined revenue</t>
  </si>
  <si>
    <t xml:space="preserve">Combined gross profit</t>
  </si>
  <si>
    <t xml:space="preserve">Combined EBITDA</t>
  </si>
  <si>
    <t xml:space="preserve">Combined net income</t>
  </si>
  <si>
    <t xml:space="preserve">Balance sheet at Dec 31, 2025 ($CAD)</t>
  </si>
  <si>
    <t xml:space="preserve">Combined cash</t>
  </si>
  <si>
    <t xml:space="preserve">Combined total assets</t>
  </si>
  <si>
    <t xml:space="preserve">Combined total liabilities</t>
  </si>
  <si>
    <t xml:space="preserve">Combined book value (equity)</t>
  </si>
  <si>
    <t xml:space="preserve">Note: effectively debt-free (only interest-bearing debt was a $40K CEBA loan at CADS, repaid 2023). TWB Designs revenue is lumpy — it sells the eMACS/MACS burner system episodically ($64K, $864K, $143K across 2023-2025) rather than on a recurring basis, and 2024's result included a one-time $265,874 FX gain. CADS revenue has declined ~20% over three years (2023-2025), which the current owner attributes to reduced operating effort ahead of a planned retirement rather than a structural demand decline, evidenced by an existing backlog of ~20 police agencies awaiting pickup — but this is unverified pending diligence.</t>
  </si>
  <si>
    <t xml:space="preserve">SECTION 2 — Comp universe for TWB's sector</t>
  </si>
  <si>
    <t xml:space="preserve">TWB has no direct, liquid public comp set for small-arms/ammunition destruction specifically. This uses the closest genuine proxy rather than fabricating a broad multi-category universe that doesn't exist: public and private-market Aerospace &amp; Defense (A&amp;D) services multiples.</t>
  </si>
  <si>
    <t xml:space="preserve">TWB comp category</t>
  </si>
  <si>
    <t xml:space="preserve">Example companies</t>
  </si>
  <si>
    <t xml:space="preserve">EV/EBITDA (public)</t>
  </si>
  <si>
    <t xml:space="preserve">EV/EBITDA (private/strategic)</t>
  </si>
  <si>
    <t xml:space="preserve">Aerospace &amp; Defense Services</t>
  </si>
  <si>
    <t xml:space="preserve">Cadre Holdings, and the broader public A&amp;D services cohort</t>
  </si>
  <si>
    <t xml:space="preserve">Note: this comp set is deliberately narrow rather than broad — an honest reflection of TWB's sector having few, thinly-traded direct public comparables, rather than a manufactured wide universe that would imply false precision.</t>
  </si>
  <si>
    <t xml:space="preserve">SECTION 3 — Discounted Future Value bridge (10-year basis)</t>
  </si>
  <si>
    <t xml:space="preserve">Applies the comp-median EV/EBITDA multiple (Section 2) to TWB's Year-10 modeled EBITDA, then discounts that future firm value back to today over a 10-year horizon — matching the number of years actually being projected, rather than an arbitrarily shorter discount window.</t>
  </si>
  <si>
    <t xml:space="preserve">TWB Year-10 revenue, from the operating model (Revenue Build tab)</t>
  </si>
  <si>
    <t xml:space="preserve">MODELED (operating plan)</t>
  </si>
  <si>
    <t xml:space="preserve">Assumed EBITDA margin at Year-10 scale (modeled — maturing, integrated platform)</t>
  </si>
  <si>
    <t xml:space="preserve">Implied Year-10 EBITDA</t>
  </si>
  <si>
    <t xml:space="preserve">Applying the comp-median multiple range to Year-10 EBITDA</t>
  </si>
  <si>
    <t xml:space="preserve">Low end of comp multiple range (public A&amp;D services)</t>
  </si>
  <si>
    <t xml:space="preserve">High end of comp multiple range (private/strategic A&amp;D deals)</t>
  </si>
  <si>
    <t xml:space="preserve">Future firm value — low end</t>
  </si>
  <si>
    <t xml:space="preserve">Future firm value — high end</t>
  </si>
  <si>
    <t xml:space="preserve">Discounting back to today</t>
  </si>
  <si>
    <t xml:space="preserve">Number of periods to discount back</t>
  </si>
  <si>
    <t xml:space="preserve">Discount rate</t>
  </si>
  <si>
    <t xml:space="preserve">Implied discounted firm value — low end</t>
  </si>
  <si>
    <t xml:space="preserve">Implied discounted firm value — high end</t>
  </si>
  <si>
    <t xml:space="preserve">Implied discounted firm value — midpoint</t>
  </si>
  <si>
    <t xml:space="preserve">SECTION 4 — Illustrative 2027 deal price vs. discounted fair value</t>
  </si>
  <si>
    <t xml:space="preserve">An illustrative near-term deal price, shown against the Section 3 discounted fair value. The deal price is a standalone modeled figure — not derived from the DFV bridge — consistent with how real SPAC/growth-equity deals are actually negotiated rather than mechanically priced off a formula.</t>
  </si>
  <si>
    <t xml:space="preserve">Discounted fair value midpoint (from Section 3)</t>
  </si>
  <si>
    <t xml:space="preserve">Illustrative 2027 deal enterprise value (modeled — see note)</t>
  </si>
  <si>
    <t xml:space="preserve">Implied discount / (premium) to discounted fair value midpoint</t>
  </si>
  <si>
    <t xml:space="preserve">Equity value bridge — pre-money → pro forma structure for an illustrative SPAC/growth-equity raise</t>
  </si>
  <si>
    <t xml:space="preserve">Illustrative 2027 deal enterprise value (pre-money proxy)</t>
  </si>
  <si>
    <t xml:space="preserve">Less: estimated net debt at 2027 (modeled — TWB is effectively debt-free today per Section 1)</t>
  </si>
  <si>
    <t xml:space="preserve">Implied PRE-MONEY equity value</t>
  </si>
  <si>
    <t xml:space="preserve">Plus: illustrative gross transaction proceeds (modeled at ~50% of deal EV)</t>
  </si>
  <si>
    <t xml:space="preserve">Implied gross transaction proceeds ($)</t>
  </si>
  <si>
    <t xml:space="preserve">Implied PRO FORMA equity value (post-transaction)</t>
  </si>
  <si>
    <t xml:space="preserve">SECTION 5 — Sensitivity: matching the discount period to the projection horizon</t>
  </si>
  <si>
    <t xml:space="preserve">Section 3 discounts back exactly 10 periods, matching the Year-10 projection horizon used as the 'future' point — this is the single most important design choice in the whole bridge. Using a SHORTER discount period than the projection horizon (a common shortcut in growth-stage pitches) inflates the implied fair value substantially. This table shows why matching the two matters.</t>
  </si>
  <si>
    <t xml:space="preserve">Discount periods used</t>
  </si>
  <si>
    <t xml:space="preserve">Implied discounted FV midpoint</t>
  </si>
  <si>
    <t xml:space="preserve">vs. illustrative deal price</t>
  </si>
  <si>
    <t xml:space="preserve">3 periods @ 20%  (mismatched — shorter than the 10-year projection horizon)</t>
  </si>
  <si>
    <t xml:space="preserve">5 periods @ 20%  (mismatched — shorter than the 10-year projection horizon)</t>
  </si>
  <si>
    <t xml:space="preserve">10 periods @ 20%  (matches the 10-year projection horizon — used in Section 3)</t>
  </si>
  <si>
    <t xml:space="preserve">READ: discounting the future estimate back FEWER periods than the years actually being projected mechanically inflates the implied fair value — it is not a source of genuine additional value, just an artifact of the mismatch between the projection horizon and the discount window. This tab deliberately keeps the two matched (10 years projected, 10 years discounted) in Section 3 to avoid manufacturing an artificially large 'discount to fair value' headline.</t>
  </si>
  <si>
    <t xml:space="preserve">SECTION 6 — Nasdaq/NYSE-listed public comps for context</t>
  </si>
  <si>
    <t xml:space="preserve">Company</t>
  </si>
  <si>
    <t xml:space="preserve">Exchange</t>
  </si>
  <si>
    <t xml:space="preserve">TTM Revenue</t>
  </si>
  <si>
    <t xml:space="preserve">EV / Revenue</t>
  </si>
  <si>
    <t xml:space="preserve">Read</t>
  </si>
  <si>
    <t xml:space="preserve">Cadre Holdings (CDRE)</t>
  </si>
  <si>
    <t xml:space="preserve">NYSE</t>
  </si>
  <si>
    <t xml:space="preserve">$685.7M</t>
  </si>
  <si>
    <t xml:space="preserve">~2.1x</t>
  </si>
  <si>
    <t xml:space="preserve">  → Closest OPERATIONAL comp — EOD equipment, body armor, law enforcement/first-responder markets, active buy-and-build M&amp;A strategy. A mature, profitable, actual-revenue business trading on real fundamentals (P/E ~42x). This is roughly what TWB might look like AFTER the growth story plays out, not during it, and its ~2.1x EV/Revenue and mid-teens EBITDA margin are the anchor for the EBITDA-multiple assumptions used in Sections 2-4 above.</t>
  </si>
  <si>
    <t xml:space="preserve">American Battery Technology Co. (ABAT)</t>
  </si>
  <si>
    <t xml:space="preserve">NASDAQ</t>
  </si>
  <si>
    <t xml:space="preserve">~$9.5M</t>
  </si>
  <si>
    <t xml:space="preserve">~40.3x</t>
  </si>
  <si>
    <t xml:space="preserve">  → Closest STORY comp — critical minerals/battery recycling, deeply negative EBITDA, tiny actual revenue, richly valued on narrative and government-grant backing rather than current fundamentals. Illustrates how a small, unprofitable, early-stage company in an adjacent sector can still command a rich multiple on a compelling story — directly relevant context for how a 2027 TWB listing might be priced by the market in its early, pre-scale years.</t>
  </si>
  <si>
    <t xml:space="preserve">SECTION 7 — READ FOR THE BOARD</t>
  </si>
  <si>
    <t xml:space="preserve">1. The Year-10 basis is a deliberate methodological choice.</t>
  </si>
  <si>
    <t xml:space="preserve">This tab projects Year-10 EBITDA and discounts back exactly 10 years — the projection horizon and the discount window are matched by construction. A shorter discount period than the projection horizon is a common way growth-stage pitches inflate an implied 'discount to fair value' headline; Section 5 shows exactly how much that shortcut would have added here, and this tab does not use it.</t>
  </si>
  <si>
    <t xml:space="preserve">2. This is a standard, sourced methodology — not a guarantee.</t>
  </si>
  <si>
    <t xml:space="preserve">Comp-based, discounted-future-value bridges are a real and commonly used approach for pricing growth-stage go-public deals in capital-intensive sectors. The mechanics here are sound and clearly documented. But the entire output depends on TWB's own operating plan (Revenue Build tab) actually being delivered — growth-stage companies valued this way have, in real and well-documented cases, gone on to miss their own guidance badly, post large losses, and in some cases fail entirely. The methodology being sound does not make the outcome guaranteed.</t>
  </si>
  <si>
    <t xml:space="preserve">3. TWB's real starting point matters enormously here.</t>
  </si>
  <si>
    <t xml:space="preserve">Section 1's real numbers — ~$863K combined 2025 revenue, ~$235K EBITDA, a business currently being offered for acquisition at ~$700K — are the honest floor underneath every number on this tab. The entire valuation bridge above is built on the operating model's MODELED Year-10 output, which assumes successful execution of the full organic-plus-acquisition growth plan built elsewhere in this workbook. Nothing on this tab should be presented to a real investor without that plan, and its own execution risk, directly alongside it.</t>
  </si>
  <si>
    <t xml:space="preserve">Summary: illustrative 2027 deal and Year-10 discounted fair value bridge</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</si>
</sst>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
    <numFmt numFmtId="168" formatCode="0"/>
    <numFmt numFmtId="169" formatCode="\$#,##0.0;&quot;($&quot;#,##0.0\);\-"/>
    <numFmt numFmtId="170" formatCode="#,##0;\(#,##0\);\-"/>
    <numFmt numFmtId="171" formatCode="0.0\x"/>
  </numFmts>
  <fonts count="27">
    <font>
      <sz val="11"/>
      <color theme="1"/>
      <name val="Calibri"/>
      <family val="2"/>
      <charset val="1"/>
    </font>
    <font>
      <sz val="10"/>
      <name val="Arial"/>
      <family val="0"/>
    </font>
    <font>
      <sz val="10"/>
      <name val="Arial"/>
      <family val="0"/>
    </font>
    <font>
      <sz val="10"/>
      <name val="Arial"/>
      <family val="0"/>
    </font>
    <font>
      <b val="true"/>
      <sz val="16"/>
      <color rgb="FF1F2937"/>
      <name val="Cambria"/>
      <family val="0"/>
      <charset val="1"/>
    </font>
    <font>
      <i val="true"/>
      <sz val="10"/>
      <color rgb="FF595959"/>
      <name val="Cambria"/>
      <family val="0"/>
      <charset val="1"/>
    </font>
    <font>
      <b val="true"/>
      <sz val="12"/>
      <name val="Cambria"/>
      <family val="0"/>
      <charset val="1"/>
    </font>
    <font>
      <sz val="11"/>
      <name val="Cambria"/>
      <family val="0"/>
      <charset val="1"/>
    </font>
    <font>
      <b val="true"/>
      <sz val="11"/>
      <color rgb="FF008000"/>
      <name val="Cambria"/>
      <family val="0"/>
      <charset val="1"/>
    </font>
    <font>
      <b val="true"/>
      <sz val="11"/>
      <color rgb="FF9C6500"/>
      <name val="Cambria"/>
      <family val="0"/>
      <charset val="1"/>
    </font>
    <font>
      <b val="true"/>
      <sz val="11"/>
      <name val="Cambria"/>
      <family val="0"/>
      <charset val="1"/>
    </font>
    <font>
      <i val="true"/>
      <sz val="9"/>
      <color rgb="FF595959"/>
      <name val="Cambria"/>
      <family val="0"/>
      <charset val="1"/>
    </font>
    <font>
      <b val="true"/>
      <sz val="11"/>
      <color rgb="FFFFFFFF"/>
      <name val="Cambria"/>
      <family val="0"/>
      <charset val="1"/>
    </font>
    <font>
      <sz val="11"/>
      <color rgb="FF000000"/>
      <name val="Cambria"/>
      <family val="0"/>
      <charset val="1"/>
    </font>
    <font>
      <sz val="11"/>
      <color rgb="FF0000FF"/>
      <name val="Cambria"/>
      <family val="0"/>
      <charset val="1"/>
    </font>
    <font>
      <i val="true"/>
      <sz val="9"/>
      <name val="Cambria"/>
      <family val="0"/>
      <charset val="1"/>
    </font>
    <font>
      <i val="true"/>
      <sz val="8"/>
      <color rgb="FF595959"/>
      <name val="Cambria"/>
      <family val="0"/>
      <charset val="1"/>
    </font>
    <font>
      <i val="true"/>
      <sz val="8"/>
      <color rgb="FF9C6500"/>
      <name val="Cambria"/>
      <family val="0"/>
      <charset val="1"/>
    </font>
    <font>
      <i val="true"/>
      <sz val="11"/>
      <name val="Cambria"/>
      <family val="0"/>
      <charset val="1"/>
    </font>
    <font>
      <sz val="9"/>
      <name val="Cambria"/>
      <family val="0"/>
      <charset val="1"/>
    </font>
    <font>
      <sz val="10"/>
      <name val="Arial"/>
      <family val="2"/>
    </font>
    <font>
      <i val="true"/>
      <sz val="9"/>
      <color rgb="FF808080"/>
      <name val="Cambria"/>
      <family val="0"/>
      <charset val="1"/>
    </font>
    <font>
      <b val="true"/>
      <sz val="9"/>
      <name val="Cambria"/>
      <family val="0"/>
      <charset val="1"/>
    </font>
    <font>
      <i val="true"/>
      <sz val="8"/>
      <color rgb="FF808080"/>
      <name val="Cambria"/>
      <family val="0"/>
      <charset val="1"/>
    </font>
    <font>
      <i val="true"/>
      <sz val="9"/>
      <color rgb="FF008000"/>
      <name val="Cambria"/>
      <family val="0"/>
      <charset val="1"/>
    </font>
    <font>
      <b val="true"/>
      <sz val="11"/>
      <color rgb="FFC00000"/>
      <name val="Cambria"/>
      <family val="0"/>
      <charset val="1"/>
    </font>
    <font>
      <i val="true"/>
      <sz val="8"/>
      <color rgb="FF008000"/>
      <name val="Cambria"/>
      <family val="0"/>
      <charset val="1"/>
    </font>
  </fonts>
  <fills count="7">
    <fill>
      <patternFill patternType="none"/>
    </fill>
    <fill>
      <patternFill patternType="gray125"/>
    </fill>
    <fill>
      <patternFill patternType="solid">
        <fgColor rgb="FF1F2937"/>
        <bgColor rgb="FF333300"/>
      </patternFill>
    </fill>
    <fill>
      <patternFill patternType="solid">
        <fgColor rgb="FFD9E2F3"/>
        <bgColor rgb="FFE7E6E6"/>
      </patternFill>
    </fill>
    <fill>
      <patternFill patternType="solid">
        <fgColor rgb="FFFFFF00"/>
        <bgColor rgb="FFFFFF00"/>
      </patternFill>
    </fill>
    <fill>
      <patternFill patternType="solid">
        <fgColor rgb="FFFCE4E4"/>
        <bgColor rgb="FFE7E6E6"/>
      </patternFill>
    </fill>
    <fill>
      <patternFill patternType="solid">
        <fgColor rgb="FFE7E6E6"/>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2" borderId="0" xfId="0" applyFont="true" applyBorder="true" applyAlignment="true" applyProtection="true">
      <alignment horizontal="general" vertical="bottom" textRotation="0" wrapText="false" indent="0" shrinkToFit="false"/>
      <protection locked="true" hidden="false"/>
    </xf>
    <xf numFmtId="164" fontId="10" fillId="3" borderId="1" xfId="0" applyFont="true" applyBorder="true" applyAlignment="true" applyProtection="true">
      <alignment horizontal="center" vertical="bottom" textRotation="0" wrapText="tru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6" fontId="14" fillId="4"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5" fontId="14" fillId="4" borderId="0" xfId="0" applyFont="true" applyBorder="false" applyAlignment="true" applyProtection="true">
      <alignment horizontal="general" vertical="bottom" textRotation="0" wrapText="false" indent="0" shrinkToFit="false"/>
      <protection locked="true" hidden="false"/>
    </xf>
    <xf numFmtId="165" fontId="10" fillId="3"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top" textRotation="0" wrapText="true" indent="0" shrinkToFit="false"/>
      <protection locked="true" hidden="false"/>
    </xf>
    <xf numFmtId="164" fontId="18" fillId="0" borderId="0" xfId="0" applyFont="true" applyBorder="false" applyAlignment="true" applyProtection="true">
      <alignment horizontal="general" vertical="top" textRotation="0" wrapText="true" indent="0" shrinkToFit="false"/>
      <protection locked="true" hidden="false"/>
    </xf>
    <xf numFmtId="167" fontId="14" fillId="4"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8" fontId="10" fillId="0" borderId="0" xfId="0" applyFont="true" applyBorder="fals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9" fontId="10" fillId="3"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8" fontId="14" fillId="4" borderId="0" xfId="0" applyFont="true" applyBorder="false" applyAlignment="true" applyProtection="true">
      <alignment horizontal="center" vertical="bottom" textRotation="0" wrapText="false" indent="0" shrinkToFit="false"/>
      <protection locked="true" hidden="false"/>
    </xf>
    <xf numFmtId="164" fontId="22" fillId="0" borderId="0" xfId="0" applyFont="true" applyBorder="true" applyAlignment="true" applyProtection="true">
      <alignment horizontal="general" vertical="top" textRotation="0" wrapText="true" indent="0" shrinkToFit="false"/>
      <protection locked="true" hidden="false"/>
    </xf>
    <xf numFmtId="164" fontId="16" fillId="0" borderId="0" xfId="0" applyFont="true" applyBorder="true" applyAlignment="true" applyProtection="true">
      <alignment horizontal="general" vertical="top" textRotation="0" wrapText="true" indent="0" shrinkToFit="false"/>
      <protection locked="true" hidden="false"/>
    </xf>
    <xf numFmtId="169" fontId="14" fillId="4"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70" fontId="14" fillId="4"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top" textRotation="0" wrapText="tru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xf numFmtId="170" fontId="10" fillId="3" borderId="0" xfId="0" applyFont="true" applyBorder="false" applyAlignment="true" applyProtection="true">
      <alignment horizontal="general" vertical="bottom" textRotation="0" wrapText="false" indent="0" shrinkToFit="false"/>
      <protection locked="true" hidden="false"/>
    </xf>
    <xf numFmtId="170"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25" fillId="0" borderId="0" xfId="0" applyFont="true" applyBorder="false" applyAlignment="true" applyProtection="true">
      <alignment horizontal="general" vertical="top" textRotation="0" wrapText="true" indent="0" shrinkToFit="false"/>
      <protection locked="true" hidden="false"/>
    </xf>
    <xf numFmtId="164" fontId="1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25" fillId="5" borderId="0" xfId="0" applyFont="true" applyBorder="false" applyAlignment="true" applyProtection="true">
      <alignment horizontal="general" vertical="top"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9" fontId="10" fillId="0" borderId="0" xfId="0" applyFont="true" applyBorder="false" applyAlignment="true" applyProtection="true">
      <alignment horizontal="general" vertical="bottom" textRotation="0" wrapText="false" indent="0" shrinkToFit="false"/>
      <protection locked="true" hidden="false"/>
    </xf>
    <xf numFmtId="166" fontId="10" fillId="3" borderId="0" xfId="0" applyFont="true" applyBorder="false" applyAlignment="true" applyProtection="true">
      <alignment horizontal="general" vertical="bottom" textRotation="0" wrapText="false" indent="0" shrinkToFit="false"/>
      <protection locked="true" hidden="false"/>
    </xf>
    <xf numFmtId="164" fontId="10" fillId="6"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9C6500"/>
      <rgbColor rgb="FF800080"/>
      <rgbColor rgb="FF008080"/>
      <rgbColor rgb="FFBFBFBF"/>
      <rgbColor rgb="FF808080"/>
      <rgbColor rgb="FF9999FF"/>
      <rgbColor rgb="FF993366"/>
      <rgbColor rgb="FFFCE4E4"/>
      <rgbColor rgb="FFE7E6E6"/>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5"/>
    <col collapsed="false" customWidth="true" hidden="false" outlineLevel="0" max="3" min="3" style="1" width="3"/>
  </cols>
  <sheetData>
    <row r="2" customFormat="false" ht="19.5" hidden="false" customHeight="true" outlineLevel="0" collapsed="false">
      <c r="B2" s="2" t="s">
        <v>0</v>
      </c>
    </row>
    <row r="3" customFormat="false" ht="15" hidden="false" customHeight="true" outlineLevel="0" collapsed="false">
      <c r="B3" s="3" t="s">
        <v>1</v>
      </c>
    </row>
    <row r="6" customFormat="false" ht="15" hidden="false" customHeight="true" outlineLevel="0" collapsed="false">
      <c r="B6" s="4" t="s">
        <v>2</v>
      </c>
    </row>
    <row r="8" customFormat="false" ht="18" hidden="false" customHeight="true" outlineLevel="0" collapsed="false">
      <c r="B8" s="5" t="s">
        <v>3</v>
      </c>
    </row>
    <row r="9" customFormat="false" ht="15" hidden="false" customHeight="true" outlineLevel="0" collapsed="false">
      <c r="B9" s="6" t="s">
        <v>4</v>
      </c>
    </row>
    <row r="10" customFormat="false" ht="31.5" hidden="false" customHeight="true" outlineLevel="0" collapsed="false">
      <c r="B10" s="5" t="s">
        <v>5</v>
      </c>
    </row>
    <row r="12" customFormat="false" ht="15" hidden="false" customHeight="true" outlineLevel="0" collapsed="false">
      <c r="B12" s="7" t="s">
        <v>6</v>
      </c>
    </row>
    <row r="13" customFormat="false" ht="31.5" hidden="false" customHeight="true" outlineLevel="0" collapsed="false">
      <c r="B13" s="5" t="s">
        <v>7</v>
      </c>
    </row>
    <row r="15" customFormat="false" ht="15" hidden="false" customHeight="true" outlineLevel="0" collapsed="false">
      <c r="B15" s="4" t="s">
        <v>8</v>
      </c>
    </row>
    <row r="16" customFormat="false" ht="15" hidden="false" customHeight="true" outlineLevel="0" collapsed="false">
      <c r="B16" s="8" t="s">
        <v>9</v>
      </c>
    </row>
    <row r="17" customFormat="false" ht="25.5" hidden="false" customHeight="true" outlineLevel="0" collapsed="false">
      <c r="B17" s="9" t="s">
        <v>10</v>
      </c>
    </row>
    <row r="18" customFormat="false" ht="15" hidden="false" customHeight="true" outlineLevel="0" collapsed="false">
      <c r="B18" s="8" t="s">
        <v>11</v>
      </c>
    </row>
    <row r="19" customFormat="false" ht="25.5" hidden="false" customHeight="true" outlineLevel="0" collapsed="false">
      <c r="B19" s="9" t="s">
        <v>12</v>
      </c>
    </row>
    <row r="20" customFormat="false" ht="15" hidden="false" customHeight="true" outlineLevel="0" collapsed="false">
      <c r="B20" s="8" t="s">
        <v>13</v>
      </c>
    </row>
    <row r="21" customFormat="false" ht="25.5" hidden="false" customHeight="true" outlineLevel="0" collapsed="false">
      <c r="B21" s="9" t="s">
        <v>14</v>
      </c>
    </row>
    <row r="22" customFormat="false" ht="15" hidden="false" customHeight="true" outlineLevel="0" collapsed="false">
      <c r="B22" s="8" t="s">
        <v>15</v>
      </c>
    </row>
    <row r="23" customFormat="false" ht="25.5" hidden="false" customHeight="true" outlineLevel="0" collapsed="false">
      <c r="B23" s="9" t="s">
        <v>16</v>
      </c>
    </row>
    <row r="24" customFormat="false" ht="15" hidden="false" customHeight="true" outlineLevel="0" collapsed="false">
      <c r="B24" s="8" t="s">
        <v>17</v>
      </c>
    </row>
    <row r="25" customFormat="false" ht="25.5" hidden="false" customHeight="true" outlineLevel="0" collapsed="false">
      <c r="B25" s="9" t="s">
        <v>18</v>
      </c>
    </row>
    <row r="26" customFormat="false" ht="15" hidden="false" customHeight="true" outlineLevel="0" collapsed="false">
      <c r="B26" s="8" t="s">
        <v>19</v>
      </c>
    </row>
    <row r="27" customFormat="false" ht="25.5" hidden="false" customHeight="true" outlineLevel="0" collapsed="false">
      <c r="B27" s="9" t="s">
        <v>20</v>
      </c>
    </row>
    <row r="28" customFormat="false" ht="15" hidden="false" customHeight="true" outlineLevel="0" collapsed="false">
      <c r="B28" s="8" t="s">
        <v>21</v>
      </c>
    </row>
    <row r="29" customFormat="false" ht="25.5" hidden="false" customHeight="true" outlineLevel="0" collapsed="false">
      <c r="B29" s="9" t="s">
        <v>22</v>
      </c>
    </row>
    <row r="30" customFormat="false" ht="15" hidden="false" customHeight="true" outlineLevel="0" collapsed="false">
      <c r="B30" s="8" t="s">
        <v>23</v>
      </c>
    </row>
    <row r="31" customFormat="false" ht="39.75" hidden="false" customHeight="true" outlineLevel="0" collapsed="false">
      <c r="B31" s="10" t="s">
        <v>24</v>
      </c>
    </row>
    <row r="32" customFormat="false" ht="60" hidden="false" customHeight="true" outlineLevel="0" collapsed="false"/>
    <row r="33" customFormat="false" ht="15" hidden="false" customHeight="true" outlineLevel="0" collapsed="false">
      <c r="B33" s="4" t="s">
        <v>25</v>
      </c>
    </row>
    <row r="34" customFormat="false" ht="48" hidden="false" customHeight="true" outlineLevel="0" collapsed="false">
      <c r="B34" s="5" t="s">
        <v>26</v>
      </c>
    </row>
    <row r="36" customFormat="false" ht="41.25" hidden="false" customHeight="true" outlineLevel="0" collapsed="false">
      <c r="B36" s="5"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W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16"/>
    <col collapsed="false" customWidth="true" hidden="false" outlineLevel="0" max="4" min="4" style="1" width="14"/>
    <col collapsed="false" customWidth="true" hidden="false" outlineLevel="0" max="5" min="5" style="1" width="16"/>
    <col collapsed="false" customWidth="true" hidden="false" outlineLevel="0" max="6" min="6" style="1" width="34"/>
    <col collapsed="false" customWidth="true" hidden="false" outlineLevel="0" max="22" min="7" style="1" width="10"/>
    <col collapsed="false" customWidth="true" hidden="false" outlineLevel="0" max="23" min="23" style="1" width="3"/>
  </cols>
  <sheetData>
    <row r="2" customFormat="false" ht="19.5" hidden="false" customHeight="true" outlineLevel="0" collapsed="false">
      <c r="B2" s="2" t="s">
        <v>28</v>
      </c>
    </row>
    <row r="3" customFormat="false" ht="15" hidden="false" customHeight="true" outlineLevel="0" collapsed="false">
      <c r="B3" s="3" t="s">
        <v>29</v>
      </c>
    </row>
    <row r="6" customFormat="false" ht="15" hidden="false" customHeight="true" outlineLevel="0" collapsed="false">
      <c r="B6" s="11" t="s">
        <v>30</v>
      </c>
      <c r="C6" s="11"/>
      <c r="D6" s="11"/>
      <c r="E6" s="11"/>
      <c r="F6" s="11"/>
    </row>
    <row r="7" customFormat="false" ht="41.25" hidden="false" customHeight="true" outlineLevel="0" collapsed="false">
      <c r="B7" s="12" t="s">
        <v>31</v>
      </c>
      <c r="C7" s="12" t="s">
        <v>32</v>
      </c>
      <c r="D7" s="12" t="s">
        <v>33</v>
      </c>
      <c r="E7" s="12" t="s">
        <v>34</v>
      </c>
      <c r="F7" s="12" t="s">
        <v>35</v>
      </c>
    </row>
    <row r="8" customFormat="false" ht="45.75" hidden="false" customHeight="true" outlineLevel="0" collapsed="false">
      <c r="B8" s="5" t="s">
        <v>36</v>
      </c>
      <c r="C8" s="13" t="n">
        <v>1070</v>
      </c>
      <c r="D8" s="14" t="n">
        <v>0.01</v>
      </c>
      <c r="E8" s="15" t="s">
        <v>37</v>
      </c>
      <c r="F8" s="16" t="s">
        <v>38</v>
      </c>
    </row>
    <row r="9" customFormat="false" ht="45.75" hidden="false" customHeight="true" outlineLevel="0" collapsed="false">
      <c r="B9" s="5" t="s">
        <v>39</v>
      </c>
      <c r="C9" s="13" t="n">
        <v>9000</v>
      </c>
      <c r="D9" s="14" t="n">
        <v>0.045</v>
      </c>
      <c r="E9" s="15" t="s">
        <v>40</v>
      </c>
      <c r="F9" s="16" t="s">
        <v>41</v>
      </c>
    </row>
    <row r="10" customFormat="false" ht="45.75" hidden="false" customHeight="true" outlineLevel="0" collapsed="false">
      <c r="B10" s="5" t="s">
        <v>42</v>
      </c>
      <c r="C10" s="17" t="n">
        <v>2500</v>
      </c>
      <c r="D10" s="14" t="n">
        <v>0.07</v>
      </c>
      <c r="E10" s="15" t="s">
        <v>43</v>
      </c>
      <c r="F10" s="16" t="s">
        <v>44</v>
      </c>
    </row>
    <row r="11" customFormat="false" ht="45.75" hidden="false" customHeight="true" outlineLevel="0" collapsed="false">
      <c r="B11" s="5" t="s">
        <v>45</v>
      </c>
      <c r="C11" s="17" t="n">
        <v>400</v>
      </c>
      <c r="D11" s="14" t="n">
        <v>-0.03</v>
      </c>
      <c r="E11" s="15" t="s">
        <v>43</v>
      </c>
      <c r="F11" s="16" t="s">
        <v>46</v>
      </c>
    </row>
    <row r="12" customFormat="false" ht="45.75" hidden="false" customHeight="true" outlineLevel="0" collapsed="false">
      <c r="B12" s="5" t="s">
        <v>47</v>
      </c>
      <c r="C12" s="17" t="n">
        <v>2000</v>
      </c>
      <c r="D12" s="14" t="n">
        <v>0.06</v>
      </c>
      <c r="E12" s="15" t="s">
        <v>48</v>
      </c>
      <c r="F12" s="16" t="s">
        <v>49</v>
      </c>
    </row>
    <row r="13" customFormat="false" ht="15" hidden="false" customHeight="true" outlineLevel="0" collapsed="false">
      <c r="B13" s="8" t="s">
        <v>50</v>
      </c>
      <c r="C13" s="18" t="n">
        <f aca="false">SUM(C8:C12)</f>
        <v>14970</v>
      </c>
    </row>
    <row r="14" customFormat="false" ht="15" hidden="false" customHeight="true" outlineLevel="0" collapsed="false">
      <c r="B14" s="15" t="s">
        <v>51</v>
      </c>
      <c r="C14" s="19" t="n">
        <f aca="false">SUMPRODUCT(C8:C12,D8:D12)/C13</f>
        <v>0.0466733466933868</v>
      </c>
    </row>
    <row r="15" customFormat="false" ht="64.5" hidden="false" customHeight="true" outlineLevel="0" collapsed="false">
      <c r="B15" s="20" t="s">
        <v>52</v>
      </c>
    </row>
    <row r="17" customFormat="false" ht="15" hidden="false" customHeight="true" outlineLevel="0" collapsed="false">
      <c r="B17" s="11" t="s">
        <v>53</v>
      </c>
      <c r="C17" s="11"/>
      <c r="D17" s="11"/>
      <c r="E17" s="11"/>
      <c r="F17" s="11"/>
    </row>
    <row r="18" customFormat="false" ht="24" hidden="false" customHeight="true" outlineLevel="0" collapsed="false">
      <c r="B18" s="21" t="s">
        <v>54</v>
      </c>
    </row>
    <row r="20" customFormat="false" ht="15" hidden="false" customHeight="true" outlineLevel="0" collapsed="false">
      <c r="B20" s="12" t="s">
        <v>55</v>
      </c>
      <c r="C20" s="12" t="s">
        <v>56</v>
      </c>
      <c r="D20" s="12" t="s">
        <v>57</v>
      </c>
      <c r="E20" s="12"/>
      <c r="F20" s="12"/>
    </row>
    <row r="21" customFormat="false" ht="48" hidden="false" customHeight="true" outlineLevel="0" collapsed="false">
      <c r="B21" s="5" t="s">
        <v>58</v>
      </c>
      <c r="C21" s="22" t="n">
        <v>0.15</v>
      </c>
      <c r="D21" s="16" t="s">
        <v>59</v>
      </c>
    </row>
    <row r="22" customFormat="false" ht="48" hidden="false" customHeight="true" outlineLevel="0" collapsed="false">
      <c r="B22" s="5" t="s">
        <v>60</v>
      </c>
      <c r="C22" s="22" t="n">
        <v>0.55</v>
      </c>
      <c r="D22" s="16" t="s">
        <v>61</v>
      </c>
    </row>
    <row r="23" customFormat="false" ht="48" hidden="false" customHeight="true" outlineLevel="0" collapsed="false">
      <c r="B23" s="5" t="s">
        <v>62</v>
      </c>
      <c r="C23" s="22" t="n">
        <v>0.65</v>
      </c>
      <c r="D23" s="16" t="s">
        <v>63</v>
      </c>
    </row>
    <row r="25" customFormat="false" ht="15" hidden="false" customHeight="true" outlineLevel="0" collapsed="false">
      <c r="B25" s="8" t="s">
        <v>64</v>
      </c>
    </row>
    <row r="26" customFormat="false" ht="15" hidden="false" customHeight="true" outlineLevel="0" collapsed="false">
      <c r="B26" s="23" t="s">
        <v>65</v>
      </c>
      <c r="C26" s="24" t="n">
        <f aca="false">C8+C9+C10+C11+C12</f>
        <v>14970</v>
      </c>
    </row>
    <row r="27" customFormat="false" ht="15" hidden="false" customHeight="true" outlineLevel="0" collapsed="false">
      <c r="B27" s="23" t="s">
        <v>66</v>
      </c>
      <c r="C27" s="19" t="n">
        <f aca="false">C21</f>
        <v>0.15</v>
      </c>
    </row>
    <row r="28" customFormat="false" ht="15" hidden="false" customHeight="true" outlineLevel="0" collapsed="false">
      <c r="B28" s="23" t="s">
        <v>67</v>
      </c>
      <c r="C28" s="19" t="n">
        <f aca="false">C22</f>
        <v>0.55</v>
      </c>
    </row>
    <row r="29" customFormat="false" ht="15" hidden="false" customHeight="true" outlineLevel="0" collapsed="false">
      <c r="B29" s="23" t="s">
        <v>68</v>
      </c>
      <c r="C29" s="19" t="n">
        <f aca="false">C23</f>
        <v>0.65</v>
      </c>
    </row>
    <row r="30" customFormat="false" ht="15" hidden="false" customHeight="true" outlineLevel="0" collapsed="false">
      <c r="B30" s="8" t="s">
        <v>69</v>
      </c>
      <c r="C30" s="18" t="n">
        <f aca="false">(C8+C9+C10+C12)*C22*C23+C11*C21*C22*C23</f>
        <v>5230.225</v>
      </c>
    </row>
    <row r="31" customFormat="false" ht="30" hidden="false" customHeight="true" outlineLevel="0" collapsed="false">
      <c r="B31" s="16" t="s">
        <v>70</v>
      </c>
    </row>
    <row r="33" customFormat="false" ht="15" hidden="false" customHeight="true" outlineLevel="0" collapsed="false">
      <c r="B33" s="11" t="s">
        <v>71</v>
      </c>
      <c r="C33" s="11"/>
      <c r="D33" s="11"/>
      <c r="E33" s="11"/>
      <c r="F33" s="11"/>
      <c r="G33" s="11"/>
      <c r="H33" s="11"/>
      <c r="I33" s="11"/>
      <c r="J33" s="11"/>
      <c r="K33" s="11"/>
      <c r="L33" s="11"/>
      <c r="M33" s="11"/>
      <c r="N33" s="11"/>
      <c r="O33" s="11"/>
      <c r="P33" s="11"/>
      <c r="Q33" s="11"/>
      <c r="R33" s="11"/>
      <c r="S33" s="11"/>
      <c r="T33" s="11"/>
      <c r="U33" s="11"/>
      <c r="V33" s="11"/>
      <c r="W33" s="11"/>
    </row>
    <row r="34" customFormat="false" ht="54.75" hidden="false" customHeight="true" outlineLevel="0" collapsed="false">
      <c r="B34" s="21" t="s">
        <v>72</v>
      </c>
    </row>
    <row r="35" customFormat="false" ht="15" hidden="false" customHeight="true" outlineLevel="0" collapsed="false">
      <c r="B35" s="8" t="s">
        <v>73</v>
      </c>
      <c r="H35" s="25" t="n">
        <v>2026</v>
      </c>
      <c r="I35" s="25" t="n">
        <v>2027</v>
      </c>
      <c r="J35" s="25" t="n">
        <v>2028</v>
      </c>
      <c r="K35" s="25" t="n">
        <v>2029</v>
      </c>
      <c r="L35" s="25" t="n">
        <v>2030</v>
      </c>
      <c r="M35" s="25" t="n">
        <v>2031</v>
      </c>
      <c r="N35" s="25" t="n">
        <v>2032</v>
      </c>
      <c r="O35" s="25" t="n">
        <v>2033</v>
      </c>
      <c r="P35" s="25" t="n">
        <v>2034</v>
      </c>
      <c r="Q35" s="25" t="n">
        <v>2035</v>
      </c>
      <c r="R35" s="25" t="n">
        <v>2036</v>
      </c>
      <c r="S35" s="25" t="n">
        <v>2037</v>
      </c>
      <c r="T35" s="25" t="n">
        <v>2038</v>
      </c>
      <c r="U35" s="25" t="n">
        <v>2039</v>
      </c>
      <c r="V35" s="25" t="n">
        <v>2040</v>
      </c>
      <c r="W35" s="25" t="n">
        <v>2041</v>
      </c>
    </row>
    <row r="36" customFormat="false" ht="15" hidden="false" customHeight="true" outlineLevel="0" collapsed="false">
      <c r="B36" s="15" t="s">
        <v>74</v>
      </c>
      <c r="H36" s="26" t="s">
        <v>75</v>
      </c>
      <c r="I36" s="26" t="s">
        <v>76</v>
      </c>
      <c r="J36" s="26" t="s">
        <v>77</v>
      </c>
      <c r="K36" s="26" t="s">
        <v>78</v>
      </c>
      <c r="L36" s="26" t="s">
        <v>79</v>
      </c>
      <c r="M36" s="26" t="s">
        <v>80</v>
      </c>
      <c r="N36" s="26" t="s">
        <v>81</v>
      </c>
      <c r="O36" s="26" t="s">
        <v>82</v>
      </c>
      <c r="P36" s="26" t="s">
        <v>83</v>
      </c>
      <c r="Q36" s="26" t="s">
        <v>84</v>
      </c>
      <c r="R36" s="26" t="s">
        <v>85</v>
      </c>
      <c r="S36" s="26" t="s">
        <v>86</v>
      </c>
      <c r="T36" s="26" t="s">
        <v>87</v>
      </c>
      <c r="U36" s="26" t="s">
        <v>88</v>
      </c>
      <c r="V36" s="26" t="s">
        <v>89</v>
      </c>
      <c r="W36" s="26" t="s">
        <v>90</v>
      </c>
    </row>
    <row r="37" customFormat="false" ht="15" hidden="false" customHeight="true" outlineLevel="0" collapsed="false">
      <c r="B37" s="27" t="s">
        <v>91</v>
      </c>
      <c r="H37" s="28" t="n">
        <f aca="false">C8</f>
        <v>1070</v>
      </c>
      <c r="I37" s="28" t="n">
        <f aca="false">H37*(1+$D$8)</f>
        <v>1080.7</v>
      </c>
      <c r="J37" s="28" t="n">
        <f aca="false">I37*(1+$D$8)</f>
        <v>1091.507</v>
      </c>
      <c r="K37" s="28" t="n">
        <f aca="false">J37*(1+$D$8)</f>
        <v>1102.42207</v>
      </c>
      <c r="L37" s="28" t="n">
        <f aca="false">K37*(1+$D$8)</f>
        <v>1113.4462907</v>
      </c>
      <c r="M37" s="28" t="n">
        <f aca="false">L37*(1+$D$8)</f>
        <v>1124.580753607</v>
      </c>
      <c r="N37" s="28" t="n">
        <f aca="false">M37*(1+$D$8)</f>
        <v>1135.82656114307</v>
      </c>
      <c r="O37" s="28" t="n">
        <f aca="false">N37*(1+$D$8)</f>
        <v>1147.1848267545</v>
      </c>
      <c r="P37" s="28" t="n">
        <f aca="false">O37*(1+$D$8)</f>
        <v>1158.65667502205</v>
      </c>
      <c r="Q37" s="28" t="n">
        <f aca="false">P37*(1+$D$8)</f>
        <v>1170.24324177227</v>
      </c>
      <c r="R37" s="28" t="n">
        <f aca="false">Q37*(1+$D$8)</f>
        <v>1181.94567418999</v>
      </c>
      <c r="S37" s="28" t="n">
        <f aca="false">R37*(1+$D$8)</f>
        <v>1193.76513093189</v>
      </c>
      <c r="T37" s="28" t="n">
        <f aca="false">S37*(1+$D$8)</f>
        <v>1205.70278224121</v>
      </c>
      <c r="U37" s="28" t="n">
        <f aca="false">T37*(1+$D$8)</f>
        <v>1217.75981006362</v>
      </c>
      <c r="V37" s="28" t="n">
        <f aca="false">U37*(1+$D$8)</f>
        <v>1229.93740816426</v>
      </c>
      <c r="W37" s="28" t="n">
        <f aca="false">V37*(1+$D$8)</f>
        <v>1242.2367822459</v>
      </c>
    </row>
    <row r="38" customFormat="false" ht="15" hidden="false" customHeight="true" outlineLevel="0" collapsed="false">
      <c r="B38" s="27" t="s">
        <v>92</v>
      </c>
      <c r="H38" s="28" t="n">
        <f aca="false">C9</f>
        <v>9000</v>
      </c>
      <c r="I38" s="28" t="n">
        <f aca="false">H38*(1+$D$9)</f>
        <v>9405</v>
      </c>
      <c r="J38" s="28" t="n">
        <f aca="false">I38*(1+$D$9)</f>
        <v>9828.225</v>
      </c>
      <c r="K38" s="28" t="n">
        <f aca="false">J38*(1+$D$9)</f>
        <v>10270.495125</v>
      </c>
      <c r="L38" s="28" t="n">
        <f aca="false">K38*(1+$D$9)</f>
        <v>10732.667405625</v>
      </c>
      <c r="M38" s="28" t="n">
        <f aca="false">L38*(1+$D$9)</f>
        <v>11215.6374388781</v>
      </c>
      <c r="N38" s="28" t="n">
        <f aca="false">M38*(1+$D$9)</f>
        <v>11720.3411236276</v>
      </c>
      <c r="O38" s="28" t="n">
        <f aca="false">N38*(1+$D$9)</f>
        <v>12247.7564741909</v>
      </c>
      <c r="P38" s="28" t="n">
        <f aca="false">O38*(1+$D$9)</f>
        <v>12798.9055155295</v>
      </c>
      <c r="Q38" s="28" t="n">
        <f aca="false">P38*(1+$D$9)</f>
        <v>13374.8562637283</v>
      </c>
      <c r="R38" s="28" t="n">
        <f aca="false">Q38*(1+$D$9)</f>
        <v>13976.7247955961</v>
      </c>
      <c r="S38" s="28" t="n">
        <f aca="false">R38*(1+$D$9)</f>
        <v>14605.6774113979</v>
      </c>
      <c r="T38" s="28" t="n">
        <f aca="false">S38*(1+$D$9)</f>
        <v>15262.9328949108</v>
      </c>
      <c r="U38" s="28" t="n">
        <f aca="false">T38*(1+$D$9)</f>
        <v>15949.7648751818</v>
      </c>
      <c r="V38" s="28" t="n">
        <f aca="false">U38*(1+$D$9)</f>
        <v>16667.504294565</v>
      </c>
      <c r="W38" s="28" t="n">
        <f aca="false">V38*(1+$D$9)</f>
        <v>17417.5419878204</v>
      </c>
    </row>
    <row r="39" customFormat="false" ht="15" hidden="false" customHeight="true" outlineLevel="0" collapsed="false">
      <c r="B39" s="27" t="s">
        <v>93</v>
      </c>
      <c r="H39" s="28" t="n">
        <f aca="false">C10</f>
        <v>2500</v>
      </c>
      <c r="I39" s="28" t="n">
        <f aca="false">H39*(1+$D$10)</f>
        <v>2675</v>
      </c>
      <c r="J39" s="28" t="n">
        <f aca="false">I39*(1+$D$10)</f>
        <v>2862.25</v>
      </c>
      <c r="K39" s="28" t="n">
        <f aca="false">J39*(1+$D$10)</f>
        <v>3062.6075</v>
      </c>
      <c r="L39" s="28" t="n">
        <f aca="false">K39*(1+$D$10)</f>
        <v>3276.990025</v>
      </c>
      <c r="M39" s="28" t="n">
        <f aca="false">L39*(1+$D$10)</f>
        <v>3506.37932675</v>
      </c>
      <c r="N39" s="28" t="n">
        <f aca="false">M39*(1+$D$10)</f>
        <v>3751.8258796225</v>
      </c>
      <c r="O39" s="28" t="n">
        <f aca="false">N39*(1+$D$10)</f>
        <v>4014.45369119608</v>
      </c>
      <c r="P39" s="28" t="n">
        <f aca="false">O39*(1+$D$10)</f>
        <v>4295.4654495798</v>
      </c>
      <c r="Q39" s="28" t="n">
        <f aca="false">P39*(1+$D$10)</f>
        <v>4596.14803105039</v>
      </c>
      <c r="R39" s="28" t="n">
        <f aca="false">Q39*(1+$D$10)</f>
        <v>4917.87839322392</v>
      </c>
      <c r="S39" s="28" t="n">
        <f aca="false">R39*(1+$D$10)</f>
        <v>5262.12988074959</v>
      </c>
      <c r="T39" s="28" t="n">
        <f aca="false">S39*(1+$D$10)</f>
        <v>5630.47897240206</v>
      </c>
      <c r="U39" s="28" t="n">
        <f aca="false">T39*(1+$D$10)</f>
        <v>6024.61250047021</v>
      </c>
      <c r="V39" s="28" t="n">
        <f aca="false">U39*(1+$D$10)</f>
        <v>6446.33537550312</v>
      </c>
      <c r="W39" s="28" t="n">
        <f aca="false">V39*(1+$D$10)</f>
        <v>6897.57885178834</v>
      </c>
    </row>
    <row r="40" customFormat="false" ht="15" hidden="false" customHeight="true" outlineLevel="0" collapsed="false">
      <c r="B40" s="27" t="s">
        <v>94</v>
      </c>
      <c r="H40" s="28" t="n">
        <f aca="false">C11</f>
        <v>400</v>
      </c>
      <c r="I40" s="28" t="n">
        <f aca="false">H40*(1+$D$11)</f>
        <v>388</v>
      </c>
      <c r="J40" s="28" t="n">
        <f aca="false">I40*(1+$D$11)</f>
        <v>376.36</v>
      </c>
      <c r="K40" s="28" t="n">
        <f aca="false">J40*(1+$D$11)</f>
        <v>365.0692</v>
      </c>
      <c r="L40" s="28" t="n">
        <f aca="false">K40*(1+$D$11)</f>
        <v>354.117124</v>
      </c>
      <c r="M40" s="28" t="n">
        <f aca="false">L40*(1+$D$11)</f>
        <v>343.49361028</v>
      </c>
      <c r="N40" s="28" t="n">
        <f aca="false">M40*(1+$D$11)</f>
        <v>333.1888019716</v>
      </c>
      <c r="O40" s="28" t="n">
        <f aca="false">N40*(1+$D$11)</f>
        <v>323.193137912452</v>
      </c>
      <c r="P40" s="28" t="n">
        <f aca="false">O40*(1+$D$11)</f>
        <v>313.497343775078</v>
      </c>
      <c r="Q40" s="28" t="n">
        <f aca="false">P40*(1+$D$11)</f>
        <v>304.092423461826</v>
      </c>
      <c r="R40" s="28" t="n">
        <f aca="false">Q40*(1+$D$11)</f>
        <v>294.969650757971</v>
      </c>
      <c r="S40" s="28" t="n">
        <f aca="false">R40*(1+$D$11)</f>
        <v>286.120561235232</v>
      </c>
      <c r="T40" s="28" t="n">
        <f aca="false">S40*(1+$D$11)</f>
        <v>277.536944398175</v>
      </c>
      <c r="U40" s="28" t="n">
        <f aca="false">T40*(1+$D$11)</f>
        <v>269.21083606623</v>
      </c>
      <c r="V40" s="28" t="n">
        <f aca="false">U40*(1+$D$11)</f>
        <v>261.134510984243</v>
      </c>
      <c r="W40" s="28" t="n">
        <f aca="false">V40*(1+$D$11)</f>
        <v>253.300475654716</v>
      </c>
    </row>
    <row r="41" customFormat="false" ht="15" hidden="false" customHeight="true" outlineLevel="0" collapsed="false">
      <c r="B41" s="27" t="s">
        <v>95</v>
      </c>
      <c r="H41" s="28" t="n">
        <f aca="false">C12</f>
        <v>2000</v>
      </c>
      <c r="I41" s="28" t="n">
        <f aca="false">H41*(1+$D$12)</f>
        <v>2120</v>
      </c>
      <c r="J41" s="28" t="n">
        <f aca="false">I41*(1+$D$12)</f>
        <v>2247.2</v>
      </c>
      <c r="K41" s="28" t="n">
        <f aca="false">J41*(1+$D$12)</f>
        <v>2382.032</v>
      </c>
      <c r="L41" s="28" t="n">
        <f aca="false">K41*(1+$D$12)</f>
        <v>2524.95392</v>
      </c>
      <c r="M41" s="28" t="n">
        <f aca="false">L41*(1+$D$12)</f>
        <v>2676.4511552</v>
      </c>
      <c r="N41" s="28" t="n">
        <f aca="false">M41*(1+$D$12)</f>
        <v>2837.038224512</v>
      </c>
      <c r="O41" s="28" t="n">
        <f aca="false">N41*(1+$D$12)</f>
        <v>3007.26051798272</v>
      </c>
      <c r="P41" s="28" t="n">
        <f aca="false">O41*(1+$D$12)</f>
        <v>3187.69614906168</v>
      </c>
      <c r="Q41" s="28" t="n">
        <f aca="false">P41*(1+$D$12)</f>
        <v>3378.95791800539</v>
      </c>
      <c r="R41" s="28" t="n">
        <f aca="false">Q41*(1+$D$12)</f>
        <v>3581.69539308571</v>
      </c>
      <c r="S41" s="28" t="n">
        <f aca="false">R41*(1+$D$12)</f>
        <v>3796.59711667085</v>
      </c>
      <c r="T41" s="28" t="n">
        <f aca="false">S41*(1+$D$12)</f>
        <v>4024.3929436711</v>
      </c>
      <c r="U41" s="28" t="n">
        <f aca="false">T41*(1+$D$12)</f>
        <v>4265.85652029137</v>
      </c>
      <c r="V41" s="28" t="n">
        <f aca="false">U41*(1+$D$12)</f>
        <v>4521.80791150885</v>
      </c>
      <c r="W41" s="28" t="n">
        <f aca="false">V41*(1+$D$12)</f>
        <v>4793.11638619938</v>
      </c>
    </row>
    <row r="42" customFormat="false" ht="15" hidden="false" customHeight="true" outlineLevel="0" collapsed="false">
      <c r="B42" s="8" t="s">
        <v>96</v>
      </c>
      <c r="H42" s="29" t="n">
        <f aca="false">SUM(H37:H41)</f>
        <v>14970</v>
      </c>
      <c r="I42" s="29" t="n">
        <f aca="false">SUM(I37:I41)</f>
        <v>15668.7</v>
      </c>
      <c r="J42" s="29" t="n">
        <f aca="false">SUM(J37:J41)</f>
        <v>16405.542</v>
      </c>
      <c r="K42" s="29" t="n">
        <f aca="false">SUM(K37:K41)</f>
        <v>17182.625895</v>
      </c>
      <c r="L42" s="29" t="n">
        <f aca="false">SUM(L37:L41)</f>
        <v>18002.174765325</v>
      </c>
      <c r="M42" s="29" t="n">
        <f aca="false">SUM(M37:M41)</f>
        <v>18866.5422847151</v>
      </c>
      <c r="N42" s="29" t="n">
        <f aca="false">SUM(N37:N41)</f>
        <v>19778.2205908768</v>
      </c>
      <c r="O42" s="29" t="n">
        <f aca="false">SUM(O37:O41)</f>
        <v>20739.8486480366</v>
      </c>
      <c r="P42" s="29" t="n">
        <f aca="false">SUM(P37:P41)</f>
        <v>21754.2211329681</v>
      </c>
      <c r="Q42" s="29" t="n">
        <f aca="false">SUM(Q37:Q41)</f>
        <v>22824.2978780182</v>
      </c>
      <c r="R42" s="29" t="n">
        <f aca="false">SUM(R37:R41)</f>
        <v>23953.2139068537</v>
      </c>
      <c r="S42" s="29" t="n">
        <f aca="false">SUM(S37:S41)</f>
        <v>25144.2901009855</v>
      </c>
      <c r="T42" s="29" t="n">
        <f aca="false">SUM(T37:T41)</f>
        <v>26401.0445376233</v>
      </c>
      <c r="U42" s="29" t="n">
        <f aca="false">SUM(U37:U41)</f>
        <v>27727.2045420732</v>
      </c>
      <c r="V42" s="29" t="n">
        <f aca="false">SUM(V37:V41)</f>
        <v>29126.7195007254</v>
      </c>
      <c r="W42" s="29" t="n">
        <f aca="false">SUM(W37:W41)</f>
        <v>30603.7744837087</v>
      </c>
    </row>
    <row r="44" customFormat="false" ht="15" hidden="false" customHeight="true" outlineLevel="0" collapsed="false">
      <c r="B44" s="8" t="s">
        <v>97</v>
      </c>
      <c r="H44" s="29" t="n">
        <f aca="false">(H37+H38+H39+H41)*$C$22*$C$23+H40*$C$21*$C$22*$C$23</f>
        <v>5230.225</v>
      </c>
      <c r="I44" s="29" t="n">
        <f aca="false">(I37+I38+I39+I41)*$C$22*$C$23+I40*$C$21*$C$22*$C$23</f>
        <v>5483.65675</v>
      </c>
      <c r="J44" s="29" t="n">
        <f aca="false">(J37+J38+J39+J41)*$C$22*$C$23+J40*$C$21*$C$22*$C$23</f>
        <v>5750.61487</v>
      </c>
      <c r="K44" s="29" t="n">
        <f aca="false">(K37+K38+K39+K41)*$C$22*$C$23+K40*$C$21*$C$22*$C$23</f>
        <v>6031.8533543125</v>
      </c>
      <c r="L44" s="29" t="n">
        <f aca="false">(L37+L38+L39+L41)*$C$22*$C$23+L40*$C$21*$C$22*$C$23</f>
        <v>6328.17013754819</v>
      </c>
      <c r="M44" s="29" t="n">
        <f aca="false">(M37+M38+M39+M41)*$C$22*$C$23+M40*$C$21*$C$22*$C$23</f>
        <v>6640.40974596182</v>
      </c>
      <c r="N44" s="29" t="n">
        <f aca="false">(N37+N38+N39+N41)*$C$22*$C$23+N40*$C$21*$C$22*$C$23</f>
        <v>6969.46611403934</v>
      </c>
      <c r="O44" s="29" t="n">
        <f aca="false">(O37+O38+O39+O41)*$C$22*$C$23+O40*$C$21*$C$22*$C$23</f>
        <v>7316.28557688995</v>
      </c>
      <c r="P44" s="29" t="n">
        <f aca="false">(P37+P38+P39+P41)*$C$22*$C$23+P40*$C$21*$C$22*$C$23</f>
        <v>7681.87004969644</v>
      </c>
      <c r="Q44" s="29" t="n">
        <f aca="false">(Q37+Q38+Q39+Q41)*$C$22*$C$23+Q40*$C$21*$C$22*$C$23</f>
        <v>8067.28040621203</v>
      </c>
      <c r="R44" s="29" t="n">
        <f aca="false">(R37+R38+R39+R41)*$C$22*$C$23+R40*$C$21*$C$22*$C$23</f>
        <v>8473.6400690761</v>
      </c>
      <c r="S44" s="29" t="n">
        <f aca="false">(S37+S38+S39+S41)*$C$22*$C$23+S40*$C$21*$C$22*$C$23</f>
        <v>8902.13882555694</v>
      </c>
      <c r="T44" s="29" t="n">
        <f aca="false">(T37+T38+T39+T41)*$C$22*$C$23+T40*$C$21*$C$22*$C$23</f>
        <v>9354.03688322135</v>
      </c>
      <c r="U44" s="29" t="n">
        <f aca="false">(U37+U38+U39+U41)*$C$22*$C$23+U40*$C$21*$C$22*$C$23</f>
        <v>9830.66918098155</v>
      </c>
      <c r="V44" s="29" t="n">
        <f aca="false">(V37+V38+V39+V41)*$C$22*$C$23+V40*$C$21*$C$22*$C$23</f>
        <v>10333.449971984</v>
      </c>
      <c r="W44" s="29" t="n">
        <f aca="false">(W37+W38+W39+W41)*$C$22*$C$23+W40*$C$21*$C$22*$C$23</f>
        <v>10863.8776958863</v>
      </c>
    </row>
    <row r="45" customFormat="false" ht="15" hidden="false" customHeight="true" outlineLevel="0" collapsed="false">
      <c r="B45" s="15" t="s">
        <v>98</v>
      </c>
      <c r="H45" s="19" t="n">
        <f aca="false">H44/H44-1</f>
        <v>0</v>
      </c>
      <c r="I45" s="19" t="n">
        <f aca="false">I44/H44-1</f>
        <v>0.0484552289815448</v>
      </c>
      <c r="J45" s="19" t="n">
        <f aca="false">J44/H44-1</f>
        <v>0.0994966507177033</v>
      </c>
      <c r="K45" s="19" t="n">
        <f aca="false">K44/H44-1</f>
        <v>0.153268426179084</v>
      </c>
      <c r="L45" s="19" t="n">
        <f aca="false">L44/H44-1</f>
        <v>0.209923117561518</v>
      </c>
      <c r="M45" s="19" t="n">
        <f aca="false">M44/H44-1</f>
        <v>0.269622195213748</v>
      </c>
      <c r="N45" s="19" t="n">
        <f aca="false">N44/H44-1</f>
        <v>0.332536576158643</v>
      </c>
      <c r="O45" s="19" t="n">
        <f aca="false">O44/H44-1</f>
        <v>0.398847196227686</v>
      </c>
      <c r="P45" s="19" t="n">
        <f aca="false">P44/H44-1</f>
        <v>0.468745617960305</v>
      </c>
      <c r="Q45" s="19" t="n">
        <f aca="false">Q44/H44-1</f>
        <v>0.542434676560192</v>
      </c>
      <c r="R45" s="19" t="n">
        <f aca="false">R44/H44-1</f>
        <v>0.620129166350607</v>
      </c>
      <c r="S45" s="19" t="n">
        <f aca="false">S44/H44-1</f>
        <v>0.70205657033052</v>
      </c>
      <c r="T45" s="19" t="n">
        <f aca="false">T44/H44-1</f>
        <v>0.788457835603889</v>
      </c>
      <c r="U45" s="19" t="n">
        <f aca="false">U44/H44-1</f>
        <v>0.879588197636153</v>
      </c>
      <c r="V45" s="19" t="n">
        <f aca="false">V44/H44-1</f>
        <v>0.975718056485907</v>
      </c>
      <c r="W45" s="19" t="n">
        <f aca="false">W44/H44-1</f>
        <v>1.07713390836652</v>
      </c>
    </row>
    <row r="47" customFormat="false" ht="15" hidden="false" customHeight="true" outlineLevel="0" collapsed="false">
      <c r="B47" s="11" t="s">
        <v>99</v>
      </c>
      <c r="C47" s="11"/>
      <c r="D47" s="11"/>
      <c r="E47" s="11"/>
      <c r="F47" s="11"/>
      <c r="G47" s="11"/>
      <c r="H47" s="11"/>
      <c r="I47" s="11"/>
      <c r="J47" s="11"/>
      <c r="K47" s="11"/>
      <c r="L47" s="11"/>
      <c r="M47" s="11"/>
      <c r="N47" s="11"/>
      <c r="O47" s="11"/>
      <c r="P47" s="11"/>
      <c r="Q47" s="11"/>
      <c r="R47" s="11"/>
      <c r="S47" s="11"/>
      <c r="T47" s="11"/>
      <c r="U47" s="11"/>
      <c r="V47" s="11"/>
      <c r="W47" s="11"/>
    </row>
    <row r="48" customFormat="false" ht="15" hidden="false" customHeight="true" outlineLevel="0" collapsed="false">
      <c r="B48" s="23" t="s">
        <v>100</v>
      </c>
      <c r="C48" s="14" t="n">
        <v>0.1</v>
      </c>
    </row>
    <row r="49" customFormat="false" ht="15" hidden="false" customHeight="true" outlineLevel="0" collapsed="false">
      <c r="B49" s="23" t="s">
        <v>101</v>
      </c>
      <c r="C49" s="28" t="n">
        <f aca="false">W44</f>
        <v>10863.8776958863</v>
      </c>
    </row>
    <row r="50" customFormat="false" ht="15" hidden="false" customHeight="true" outlineLevel="0" collapsed="false">
      <c r="B50" s="8" t="s">
        <v>102</v>
      </c>
      <c r="C50" s="29" t="n">
        <f aca="false">C49*C48</f>
        <v>1086.38776958863</v>
      </c>
    </row>
    <row r="52" customFormat="false" ht="64.5" hidden="false" customHeight="true" outlineLevel="0" collapsed="false">
      <c r="B52" s="21" t="s">
        <v>103</v>
      </c>
    </row>
  </sheetData>
  <mergeCells count="4">
    <mergeCell ref="B6:F6"/>
    <mergeCell ref="B17:F17"/>
    <mergeCell ref="B33:W33"/>
    <mergeCell ref="B47:W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60"/>
    <col collapsed="false" customWidth="true" hidden="false" outlineLevel="0" max="4" min="4" style="1" width="3"/>
  </cols>
  <sheetData>
    <row r="2" customFormat="false" ht="19.5" hidden="false" customHeight="true" outlineLevel="0" collapsed="false">
      <c r="B2" s="2" t="s">
        <v>104</v>
      </c>
    </row>
    <row r="3" customFormat="false" ht="15" hidden="false" customHeight="true" outlineLevel="0" collapsed="false">
      <c r="B3" s="3" t="s">
        <v>105</v>
      </c>
    </row>
    <row r="6" customFormat="false" ht="15" hidden="false" customHeight="true" outlineLevel="0" collapsed="false">
      <c r="B6" s="11" t="s">
        <v>106</v>
      </c>
      <c r="C6" s="11"/>
    </row>
    <row r="7" customFormat="false" ht="15" hidden="false" customHeight="true" outlineLevel="0" collapsed="false">
      <c r="B7" s="8" t="s">
        <v>107</v>
      </c>
    </row>
    <row r="8" customFormat="false" ht="55.5" hidden="false" customHeight="true" outlineLevel="0" collapsed="false">
      <c r="B8" s="15" t="s">
        <v>108</v>
      </c>
      <c r="C8" s="5" t="s">
        <v>109</v>
      </c>
    </row>
    <row r="9" customFormat="false" ht="55.5" hidden="false" customHeight="true" outlineLevel="0" collapsed="false">
      <c r="B9" s="15" t="s">
        <v>110</v>
      </c>
      <c r="C9" s="5" t="s">
        <v>111</v>
      </c>
    </row>
    <row r="10" customFormat="false" ht="55.5" hidden="false" customHeight="true" outlineLevel="0" collapsed="false">
      <c r="B10" s="15" t="s">
        <v>112</v>
      </c>
      <c r="C10" s="5" t="s">
        <v>113</v>
      </c>
    </row>
    <row r="12" customFormat="false" ht="15" hidden="false" customHeight="true" outlineLevel="0" collapsed="false">
      <c r="B12" s="11" t="s">
        <v>114</v>
      </c>
      <c r="C12" s="11"/>
    </row>
    <row r="13" customFormat="false" ht="15" hidden="false" customHeight="true" outlineLevel="0" collapsed="false">
      <c r="B13" s="8" t="s">
        <v>115</v>
      </c>
    </row>
    <row r="14" customFormat="false" ht="55.5" hidden="false" customHeight="true" outlineLevel="0" collapsed="false">
      <c r="B14" s="15" t="s">
        <v>116</v>
      </c>
      <c r="C14" s="5" t="s">
        <v>117</v>
      </c>
    </row>
    <row r="15" customFormat="false" ht="42" hidden="false" customHeight="true" outlineLevel="0" collapsed="false">
      <c r="B15" s="15" t="s">
        <v>118</v>
      </c>
      <c r="C15" s="5" t="s">
        <v>119</v>
      </c>
    </row>
    <row r="16" customFormat="false" ht="42" hidden="false" customHeight="true" outlineLevel="0" collapsed="false">
      <c r="B16" s="15" t="s">
        <v>120</v>
      </c>
      <c r="C16" s="5" t="s">
        <v>121</v>
      </c>
    </row>
    <row r="18" customFormat="false" ht="15" hidden="false" customHeight="true" outlineLevel="0" collapsed="false">
      <c r="B18" s="11" t="s">
        <v>122</v>
      </c>
      <c r="C18" s="11"/>
    </row>
    <row r="19" customFormat="false" ht="15" hidden="false" customHeight="true" outlineLevel="0" collapsed="false">
      <c r="B19" s="8" t="s">
        <v>123</v>
      </c>
    </row>
    <row r="20" customFormat="false" ht="69.75" hidden="false" customHeight="true" outlineLevel="0" collapsed="false">
      <c r="B20" s="15" t="s">
        <v>124</v>
      </c>
      <c r="C20" s="5" t="s">
        <v>125</v>
      </c>
    </row>
    <row r="21" customFormat="false" ht="111.75" hidden="false" customHeight="true" outlineLevel="0" collapsed="false">
      <c r="B21" s="15" t="s">
        <v>126</v>
      </c>
      <c r="C21" s="5" t="s">
        <v>127</v>
      </c>
    </row>
    <row r="22" customFormat="false" ht="55.5" hidden="false" customHeight="true" outlineLevel="0" collapsed="false">
      <c r="B22" s="15" t="s">
        <v>128</v>
      </c>
      <c r="C22" s="5" t="s">
        <v>129</v>
      </c>
    </row>
    <row r="24" customFormat="false" ht="15" hidden="false" customHeight="true" outlineLevel="0" collapsed="false">
      <c r="B24" s="11" t="s">
        <v>130</v>
      </c>
      <c r="C24" s="11"/>
    </row>
    <row r="25" customFormat="false" ht="15" hidden="false" customHeight="true" outlineLevel="0" collapsed="false">
      <c r="B25" s="8" t="s">
        <v>131</v>
      </c>
    </row>
    <row r="26" customFormat="false" ht="55.5" hidden="false" customHeight="true" outlineLevel="0" collapsed="false">
      <c r="B26" s="15" t="s">
        <v>108</v>
      </c>
      <c r="C26" s="5" t="s">
        <v>132</v>
      </c>
    </row>
    <row r="27" customFormat="false" ht="69.75" hidden="false" customHeight="true" outlineLevel="0" collapsed="false">
      <c r="B27" s="15" t="s">
        <v>133</v>
      </c>
      <c r="C27" s="5" t="s">
        <v>134</v>
      </c>
    </row>
    <row r="28" customFormat="false" ht="84" hidden="false" customHeight="true" outlineLevel="0" collapsed="false">
      <c r="B28" s="15" t="s">
        <v>135</v>
      </c>
      <c r="C28" s="5" t="s">
        <v>136</v>
      </c>
    </row>
    <row r="29" customFormat="false" ht="55.5" hidden="false" customHeight="true" outlineLevel="0" collapsed="false">
      <c r="B29" s="15" t="s">
        <v>137</v>
      </c>
      <c r="C29" s="5" t="s">
        <v>138</v>
      </c>
    </row>
    <row r="31" customFormat="false" ht="15" hidden="false" customHeight="true" outlineLevel="0" collapsed="false">
      <c r="B31" s="11" t="s">
        <v>139</v>
      </c>
      <c r="C31" s="11"/>
    </row>
    <row r="32" customFormat="false" ht="15" hidden="false" customHeight="true" outlineLevel="0" collapsed="false">
      <c r="B32" s="8" t="s">
        <v>140</v>
      </c>
    </row>
    <row r="33" customFormat="false" ht="69.75" hidden="false" customHeight="true" outlineLevel="0" collapsed="false">
      <c r="B33" s="15" t="s">
        <v>141</v>
      </c>
      <c r="C33" s="5" t="s">
        <v>142</v>
      </c>
    </row>
    <row r="34" customFormat="false" ht="42" hidden="false" customHeight="true" outlineLevel="0" collapsed="false">
      <c r="B34" s="15" t="s">
        <v>143</v>
      </c>
      <c r="C34" s="5" t="s">
        <v>144</v>
      </c>
    </row>
    <row r="35" customFormat="false" ht="97.5" hidden="false" customHeight="true" outlineLevel="0" collapsed="false">
      <c r="B35" s="15" t="s">
        <v>145</v>
      </c>
      <c r="C35" s="5" t="s">
        <v>146</v>
      </c>
    </row>
    <row r="36" customFormat="false" ht="84" hidden="false" customHeight="true" outlineLevel="0" collapsed="false">
      <c r="B36" s="15" t="s">
        <v>147</v>
      </c>
      <c r="C36" s="5" t="s">
        <v>148</v>
      </c>
    </row>
    <row r="38" customFormat="false" ht="15" hidden="false" customHeight="true" outlineLevel="0" collapsed="false">
      <c r="B38" s="30" t="s">
        <v>149</v>
      </c>
    </row>
  </sheetData>
  <mergeCells count="5">
    <mergeCell ref="B6:C6"/>
    <mergeCell ref="B12:C12"/>
    <mergeCell ref="B18:C18"/>
    <mergeCell ref="B24:C24"/>
    <mergeCell ref="B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3"/>
    <col collapsed="false" customWidth="true" hidden="false" outlineLevel="0" max="19" min="4" style="1" width="10"/>
    <col collapsed="false" customWidth="true" hidden="false" outlineLevel="0" max="20" min="20" style="1" width="3"/>
  </cols>
  <sheetData>
    <row r="2" customFormat="false" ht="19.5" hidden="false" customHeight="true" outlineLevel="0" collapsed="false">
      <c r="B2" s="2" t="s">
        <v>150</v>
      </c>
    </row>
    <row r="3" customFormat="false" ht="15" hidden="false" customHeight="true" outlineLevel="0" collapsed="false">
      <c r="B3" s="3" t="s">
        <v>151</v>
      </c>
    </row>
    <row r="6" customFormat="false" ht="15" hidden="false" customHeight="true" outlineLevel="0" collapsed="false">
      <c r="B6" s="8" t="s">
        <v>73</v>
      </c>
      <c r="D6" s="25" t="n">
        <v>2026</v>
      </c>
      <c r="E6" s="25" t="n">
        <v>2027</v>
      </c>
      <c r="F6" s="25" t="n">
        <v>2028</v>
      </c>
      <c r="G6" s="25" t="n">
        <v>2029</v>
      </c>
      <c r="H6" s="25" t="n">
        <v>2030</v>
      </c>
      <c r="I6" s="25" t="n">
        <v>2031</v>
      </c>
      <c r="J6" s="25" t="n">
        <v>2032</v>
      </c>
      <c r="K6" s="25" t="n">
        <v>2033</v>
      </c>
      <c r="L6" s="25" t="n">
        <v>2034</v>
      </c>
      <c r="M6" s="25" t="n">
        <v>2035</v>
      </c>
      <c r="N6" s="25" t="n">
        <v>2036</v>
      </c>
      <c r="O6" s="25" t="n">
        <v>2037</v>
      </c>
      <c r="P6" s="25" t="n">
        <v>2038</v>
      </c>
      <c r="Q6" s="25" t="n">
        <v>2039</v>
      </c>
      <c r="R6" s="25" t="n">
        <v>2040</v>
      </c>
      <c r="S6" s="25" t="n">
        <v>2041</v>
      </c>
    </row>
    <row r="7" customFormat="false" ht="15" hidden="false" customHeight="true" outlineLevel="0" collapsed="false">
      <c r="B7" s="15" t="s">
        <v>74</v>
      </c>
      <c r="D7" s="26" t="s">
        <v>75</v>
      </c>
      <c r="E7" s="26" t="s">
        <v>76</v>
      </c>
      <c r="F7" s="26" t="s">
        <v>77</v>
      </c>
      <c r="G7" s="26" t="s">
        <v>78</v>
      </c>
      <c r="H7" s="26" t="s">
        <v>79</v>
      </c>
      <c r="I7" s="26" t="s">
        <v>80</v>
      </c>
      <c r="J7" s="26" t="s">
        <v>81</v>
      </c>
      <c r="K7" s="26" t="s">
        <v>82</v>
      </c>
      <c r="L7" s="26" t="s">
        <v>83</v>
      </c>
      <c r="M7" s="26" t="s">
        <v>84</v>
      </c>
      <c r="N7" s="26" t="s">
        <v>85</v>
      </c>
      <c r="O7" s="26" t="s">
        <v>86</v>
      </c>
      <c r="P7" s="26" t="s">
        <v>87</v>
      </c>
      <c r="Q7" s="26" t="s">
        <v>88</v>
      </c>
      <c r="R7" s="26" t="s">
        <v>89</v>
      </c>
      <c r="S7" s="26" t="s">
        <v>90</v>
      </c>
    </row>
    <row r="9" customFormat="false" ht="15" hidden="false" customHeight="true" outlineLevel="0" collapsed="false">
      <c r="B9" s="11" t="s">
        <v>152</v>
      </c>
      <c r="C9" s="11"/>
      <c r="D9" s="11"/>
      <c r="E9" s="11"/>
      <c r="F9" s="11"/>
      <c r="G9" s="11"/>
      <c r="H9" s="11"/>
      <c r="I9" s="11"/>
      <c r="J9" s="11"/>
      <c r="K9" s="11"/>
      <c r="L9" s="11"/>
      <c r="M9" s="11"/>
      <c r="N9" s="11"/>
      <c r="O9" s="11"/>
      <c r="P9" s="11"/>
      <c r="Q9" s="11"/>
      <c r="R9" s="11"/>
    </row>
    <row r="10" customFormat="false" ht="15" hidden="false" customHeight="true" outlineLevel="0" collapsed="false">
      <c r="B10" s="27" t="s">
        <v>153</v>
      </c>
      <c r="D10" s="31" t="n">
        <v>1</v>
      </c>
      <c r="E10" s="31" t="n">
        <v>1</v>
      </c>
      <c r="F10" s="31" t="n">
        <v>1</v>
      </c>
      <c r="G10" s="31" t="n">
        <v>1</v>
      </c>
      <c r="H10" s="31" t="n">
        <v>1</v>
      </c>
      <c r="I10" s="31" t="n">
        <v>1</v>
      </c>
      <c r="J10" s="31" t="n">
        <v>1</v>
      </c>
      <c r="K10" s="31" t="n">
        <v>1</v>
      </c>
      <c r="L10" s="31" t="n">
        <v>1</v>
      </c>
      <c r="M10" s="31" t="n">
        <v>1</v>
      </c>
      <c r="N10" s="31" t="n">
        <v>1</v>
      </c>
      <c r="O10" s="31" t="n">
        <v>1</v>
      </c>
      <c r="P10" s="31" t="n">
        <v>1</v>
      </c>
      <c r="Q10" s="31" t="n">
        <v>1</v>
      </c>
      <c r="R10" s="31" t="n">
        <v>1</v>
      </c>
      <c r="S10" s="31" t="n">
        <v>1</v>
      </c>
    </row>
    <row r="11" customFormat="false" ht="15" hidden="false" customHeight="true" outlineLevel="0" collapsed="false">
      <c r="B11" s="27" t="s">
        <v>154</v>
      </c>
      <c r="D11" s="31" t="n">
        <v>0</v>
      </c>
      <c r="E11" s="31" t="n">
        <v>1</v>
      </c>
      <c r="F11" s="31" t="n">
        <v>1</v>
      </c>
      <c r="G11" s="31" t="n">
        <v>1</v>
      </c>
      <c r="H11" s="31" t="n">
        <v>1</v>
      </c>
      <c r="I11" s="31" t="n">
        <v>1</v>
      </c>
      <c r="J11" s="31" t="n">
        <v>1</v>
      </c>
      <c r="K11" s="31" t="n">
        <v>1</v>
      </c>
      <c r="L11" s="31" t="n">
        <v>1</v>
      </c>
      <c r="M11" s="31" t="n">
        <v>1</v>
      </c>
      <c r="N11" s="31" t="n">
        <v>1</v>
      </c>
      <c r="O11" s="31" t="n">
        <v>1</v>
      </c>
      <c r="P11" s="31" t="n">
        <v>1</v>
      </c>
      <c r="Q11" s="31" t="n">
        <v>1</v>
      </c>
      <c r="R11" s="31" t="n">
        <v>1</v>
      </c>
      <c r="S11" s="31" t="n">
        <v>1</v>
      </c>
    </row>
    <row r="12" customFormat="false" ht="15" hidden="false" customHeight="true" outlineLevel="0" collapsed="false">
      <c r="B12" s="27" t="s">
        <v>155</v>
      </c>
      <c r="D12" s="31" t="n">
        <v>0</v>
      </c>
      <c r="E12" s="31" t="n">
        <v>0</v>
      </c>
      <c r="F12" s="31" t="n">
        <v>1</v>
      </c>
      <c r="G12" s="31" t="n">
        <v>1</v>
      </c>
      <c r="H12" s="31" t="n">
        <v>1</v>
      </c>
      <c r="I12" s="31" t="n">
        <v>1</v>
      </c>
      <c r="J12" s="31" t="n">
        <v>1</v>
      </c>
      <c r="K12" s="31" t="n">
        <v>1</v>
      </c>
      <c r="L12" s="31" t="n">
        <v>1</v>
      </c>
      <c r="M12" s="31" t="n">
        <v>1</v>
      </c>
      <c r="N12" s="31" t="n">
        <v>1</v>
      </c>
      <c r="O12" s="31" t="n">
        <v>1</v>
      </c>
      <c r="P12" s="31" t="n">
        <v>1</v>
      </c>
      <c r="Q12" s="31" t="n">
        <v>1</v>
      </c>
      <c r="R12" s="31" t="n">
        <v>1</v>
      </c>
      <c r="S12" s="31" t="n">
        <v>1</v>
      </c>
    </row>
    <row r="13" customFormat="false" ht="15" hidden="false" customHeight="true" outlineLevel="0" collapsed="false">
      <c r="B13" s="27" t="s">
        <v>156</v>
      </c>
      <c r="D13" s="31" t="n">
        <v>0</v>
      </c>
      <c r="E13" s="31" t="n">
        <v>0</v>
      </c>
      <c r="F13" s="31" t="n">
        <v>0</v>
      </c>
      <c r="G13" s="31" t="n">
        <v>1</v>
      </c>
      <c r="H13" s="31" t="n">
        <v>1</v>
      </c>
      <c r="I13" s="31" t="n">
        <v>1</v>
      </c>
      <c r="J13" s="31" t="n">
        <v>1</v>
      </c>
      <c r="K13" s="31" t="n">
        <v>1</v>
      </c>
      <c r="L13" s="31" t="n">
        <v>1</v>
      </c>
      <c r="M13" s="31" t="n">
        <v>1</v>
      </c>
      <c r="N13" s="31" t="n">
        <v>1</v>
      </c>
      <c r="O13" s="31" t="n">
        <v>1</v>
      </c>
      <c r="P13" s="31" t="n">
        <v>1</v>
      </c>
      <c r="Q13" s="31" t="n">
        <v>1</v>
      </c>
      <c r="R13" s="31" t="n">
        <v>1</v>
      </c>
      <c r="S13" s="31" t="n">
        <v>1</v>
      </c>
    </row>
    <row r="14" customFormat="false" ht="15" hidden="false" customHeight="true" outlineLevel="0" collapsed="false">
      <c r="B14" s="27" t="s">
        <v>157</v>
      </c>
      <c r="D14" s="31" t="n">
        <v>0</v>
      </c>
      <c r="E14" s="31" t="n">
        <v>0</v>
      </c>
      <c r="F14" s="31" t="n">
        <v>0</v>
      </c>
      <c r="G14" s="31" t="n">
        <v>0</v>
      </c>
      <c r="H14" s="31" t="n">
        <v>0</v>
      </c>
      <c r="I14" s="31" t="n">
        <v>0</v>
      </c>
      <c r="J14" s="31" t="n">
        <v>0</v>
      </c>
      <c r="K14" s="31" t="n">
        <v>1</v>
      </c>
      <c r="L14" s="31" t="n">
        <v>1</v>
      </c>
      <c r="M14" s="31" t="n">
        <v>1</v>
      </c>
      <c r="N14" s="31" t="n">
        <v>1</v>
      </c>
      <c r="O14" s="31" t="n">
        <v>1</v>
      </c>
      <c r="P14" s="31" t="n">
        <v>1</v>
      </c>
      <c r="Q14" s="31" t="n">
        <v>1</v>
      </c>
      <c r="R14" s="31" t="n">
        <v>1</v>
      </c>
      <c r="S14" s="31" t="n">
        <v>1</v>
      </c>
    </row>
    <row r="15" customFormat="false" ht="15" hidden="false" customHeight="true" outlineLevel="0" collapsed="false">
      <c r="B15" s="27" t="s">
        <v>158</v>
      </c>
      <c r="D15" s="31" t="n">
        <v>0</v>
      </c>
      <c r="E15" s="31" t="n">
        <v>0</v>
      </c>
      <c r="F15" s="31" t="n">
        <v>0</v>
      </c>
      <c r="G15" s="31" t="n">
        <v>0</v>
      </c>
      <c r="H15" s="31" t="n">
        <v>0</v>
      </c>
      <c r="I15" s="31" t="n">
        <v>0</v>
      </c>
      <c r="J15" s="31" t="n">
        <v>0</v>
      </c>
      <c r="K15" s="31" t="n">
        <v>0</v>
      </c>
      <c r="L15" s="31" t="n">
        <v>0</v>
      </c>
      <c r="M15" s="31" t="n">
        <v>1</v>
      </c>
      <c r="N15" s="31" t="n">
        <v>1</v>
      </c>
      <c r="O15" s="31" t="n">
        <v>1</v>
      </c>
      <c r="P15" s="31" t="n">
        <v>1</v>
      </c>
      <c r="Q15" s="31" t="n">
        <v>1</v>
      </c>
      <c r="R15" s="31" t="n">
        <v>1</v>
      </c>
      <c r="S15" s="31" t="n">
        <v>1</v>
      </c>
    </row>
    <row r="16" customFormat="false" ht="15" hidden="false" customHeight="true" outlineLevel="0" collapsed="false">
      <c r="B16" s="27" t="s">
        <v>159</v>
      </c>
      <c r="D16" s="31" t="n">
        <v>0</v>
      </c>
      <c r="E16" s="31" t="n">
        <v>1</v>
      </c>
      <c r="F16" s="31" t="n">
        <v>1</v>
      </c>
      <c r="G16" s="31" t="n">
        <v>1</v>
      </c>
      <c r="H16" s="31" t="n">
        <v>1</v>
      </c>
      <c r="I16" s="31" t="n">
        <v>1</v>
      </c>
      <c r="J16" s="31" t="n">
        <v>1</v>
      </c>
      <c r="K16" s="31" t="n">
        <v>1</v>
      </c>
      <c r="L16" s="31" t="n">
        <v>1</v>
      </c>
      <c r="M16" s="31" t="n">
        <v>1</v>
      </c>
      <c r="N16" s="31" t="n">
        <v>1</v>
      </c>
      <c r="O16" s="31" t="n">
        <v>1</v>
      </c>
      <c r="P16" s="31" t="n">
        <v>1</v>
      </c>
      <c r="Q16" s="31" t="n">
        <v>1</v>
      </c>
      <c r="R16" s="31" t="n">
        <v>1</v>
      </c>
      <c r="S16" s="31" t="n">
        <v>1</v>
      </c>
    </row>
    <row r="18" customFormat="false" ht="15" hidden="false" customHeight="true" outlineLevel="0" collapsed="false">
      <c r="B18" s="11" t="s">
        <v>160</v>
      </c>
      <c r="C18" s="11"/>
      <c r="D18" s="11"/>
      <c r="E18" s="11"/>
      <c r="F18" s="11"/>
      <c r="G18" s="11"/>
      <c r="H18" s="11"/>
      <c r="I18" s="11"/>
      <c r="J18" s="11"/>
      <c r="K18" s="11"/>
      <c r="L18" s="11"/>
      <c r="M18" s="11"/>
      <c r="N18" s="11"/>
      <c r="O18" s="11"/>
      <c r="P18" s="11"/>
      <c r="Q18" s="11"/>
      <c r="R18" s="11"/>
    </row>
    <row r="19" customFormat="false" ht="25.5" hidden="false" customHeight="true" outlineLevel="0" collapsed="false">
      <c r="B19" s="21" t="s">
        <v>161</v>
      </c>
    </row>
    <row r="20" customFormat="false" ht="68.25" hidden="false" customHeight="true" outlineLevel="0" collapsed="false">
      <c r="B20" s="12" t="s">
        <v>162</v>
      </c>
      <c r="C20" s="12" t="s">
        <v>163</v>
      </c>
      <c r="D20" s="12" t="s">
        <v>164</v>
      </c>
      <c r="E20" s="12"/>
    </row>
    <row r="21" customFormat="false" ht="33.75" hidden="false" customHeight="true" outlineLevel="0" collapsed="false">
      <c r="B21" s="8" t="s">
        <v>165</v>
      </c>
      <c r="C21" s="32" t="s">
        <v>166</v>
      </c>
      <c r="D21" s="32"/>
      <c r="E21" s="32"/>
      <c r="F21" s="32"/>
      <c r="G21" s="32"/>
      <c r="H21" s="32"/>
      <c r="I21" s="32"/>
      <c r="J21" s="32"/>
      <c r="K21" s="32"/>
      <c r="L21" s="32"/>
      <c r="M21" s="32"/>
      <c r="N21" s="32"/>
      <c r="O21" s="32"/>
      <c r="P21" s="32"/>
    </row>
    <row r="22" customFormat="false" ht="43.5" hidden="false" customHeight="true" outlineLevel="0" collapsed="false">
      <c r="C22" s="33" t="s">
        <v>167</v>
      </c>
      <c r="D22" s="33"/>
      <c r="E22" s="33"/>
      <c r="F22" s="33"/>
      <c r="G22" s="33"/>
      <c r="H22" s="33"/>
      <c r="I22" s="33"/>
      <c r="J22" s="33"/>
      <c r="K22" s="33"/>
      <c r="L22" s="33"/>
      <c r="M22" s="33"/>
      <c r="N22" s="33"/>
      <c r="O22" s="33"/>
      <c r="P22" s="33"/>
    </row>
    <row r="23" customFormat="false" ht="33.75" hidden="false" customHeight="true" outlineLevel="0" collapsed="false">
      <c r="B23" s="8" t="s">
        <v>76</v>
      </c>
      <c r="C23" s="32" t="s">
        <v>168</v>
      </c>
      <c r="D23" s="32"/>
      <c r="E23" s="32"/>
      <c r="F23" s="32"/>
      <c r="G23" s="32"/>
      <c r="H23" s="32"/>
      <c r="I23" s="32"/>
      <c r="J23" s="32"/>
      <c r="K23" s="32"/>
      <c r="L23" s="32"/>
      <c r="M23" s="32"/>
      <c r="N23" s="32"/>
      <c r="O23" s="32"/>
      <c r="P23" s="32"/>
    </row>
    <row r="24" customFormat="false" ht="43.5" hidden="false" customHeight="true" outlineLevel="0" collapsed="false">
      <c r="C24" s="33" t="s">
        <v>169</v>
      </c>
      <c r="D24" s="33"/>
      <c r="E24" s="33"/>
      <c r="F24" s="33"/>
      <c r="G24" s="33"/>
      <c r="H24" s="33"/>
      <c r="I24" s="33"/>
      <c r="J24" s="33"/>
      <c r="K24" s="33"/>
      <c r="L24" s="33"/>
      <c r="M24" s="33"/>
      <c r="N24" s="33"/>
      <c r="O24" s="33"/>
      <c r="P24" s="33"/>
    </row>
    <row r="25" customFormat="false" ht="33.75" hidden="false" customHeight="true" outlineLevel="0" collapsed="false">
      <c r="B25" s="8" t="s">
        <v>77</v>
      </c>
      <c r="C25" s="32" t="s">
        <v>170</v>
      </c>
      <c r="D25" s="32"/>
      <c r="E25" s="32"/>
      <c r="F25" s="32"/>
      <c r="G25" s="32"/>
      <c r="H25" s="32"/>
      <c r="I25" s="32"/>
      <c r="J25" s="32"/>
      <c r="K25" s="32"/>
      <c r="L25" s="32"/>
      <c r="M25" s="32"/>
      <c r="N25" s="32"/>
      <c r="O25" s="32"/>
      <c r="P25" s="32"/>
    </row>
    <row r="26" customFormat="false" ht="43.5" hidden="false" customHeight="true" outlineLevel="0" collapsed="false">
      <c r="C26" s="33" t="s">
        <v>171</v>
      </c>
      <c r="D26" s="33"/>
      <c r="E26" s="33"/>
      <c r="F26" s="33"/>
      <c r="G26" s="33"/>
      <c r="H26" s="33"/>
      <c r="I26" s="33"/>
      <c r="J26" s="33"/>
      <c r="K26" s="33"/>
      <c r="L26" s="33"/>
      <c r="M26" s="33"/>
      <c r="N26" s="33"/>
      <c r="O26" s="33"/>
      <c r="P26" s="33"/>
    </row>
    <row r="27" customFormat="false" ht="33.75" hidden="false" customHeight="true" outlineLevel="0" collapsed="false">
      <c r="B27" s="8" t="s">
        <v>78</v>
      </c>
      <c r="C27" s="32" t="s">
        <v>172</v>
      </c>
      <c r="D27" s="32"/>
      <c r="E27" s="32"/>
      <c r="F27" s="32"/>
      <c r="G27" s="32"/>
      <c r="H27" s="32"/>
      <c r="I27" s="32"/>
      <c r="J27" s="32"/>
      <c r="K27" s="32"/>
      <c r="L27" s="32"/>
      <c r="M27" s="32"/>
      <c r="N27" s="32"/>
      <c r="O27" s="32"/>
      <c r="P27" s="32"/>
    </row>
    <row r="28" customFormat="false" ht="43.5" hidden="false" customHeight="true" outlineLevel="0" collapsed="false">
      <c r="C28" s="33" t="s">
        <v>173</v>
      </c>
      <c r="D28" s="33"/>
      <c r="E28" s="33"/>
      <c r="F28" s="33"/>
      <c r="G28" s="33"/>
      <c r="H28" s="33"/>
      <c r="I28" s="33"/>
      <c r="J28" s="33"/>
      <c r="K28" s="33"/>
      <c r="L28" s="33"/>
      <c r="M28" s="33"/>
      <c r="N28" s="33"/>
      <c r="O28" s="33"/>
      <c r="P28" s="33"/>
    </row>
    <row r="29" customFormat="false" ht="33.75" hidden="false" customHeight="true" outlineLevel="0" collapsed="false">
      <c r="B29" s="8" t="s">
        <v>82</v>
      </c>
      <c r="C29" s="32" t="s">
        <v>174</v>
      </c>
      <c r="D29" s="32"/>
      <c r="E29" s="32"/>
      <c r="F29" s="32"/>
      <c r="G29" s="32"/>
      <c r="H29" s="32"/>
      <c r="I29" s="32"/>
      <c r="J29" s="32"/>
      <c r="K29" s="32"/>
      <c r="L29" s="32"/>
      <c r="M29" s="32"/>
      <c r="N29" s="32"/>
      <c r="O29" s="32"/>
      <c r="P29" s="32"/>
    </row>
    <row r="30" customFormat="false" ht="43.5" hidden="false" customHeight="true" outlineLevel="0" collapsed="false">
      <c r="C30" s="33" t="s">
        <v>175</v>
      </c>
      <c r="D30" s="33"/>
      <c r="E30" s="33"/>
      <c r="F30" s="33"/>
      <c r="G30" s="33"/>
      <c r="H30" s="33"/>
      <c r="I30" s="33"/>
      <c r="J30" s="33"/>
      <c r="K30" s="33"/>
      <c r="L30" s="33"/>
      <c r="M30" s="33"/>
      <c r="N30" s="33"/>
      <c r="O30" s="33"/>
      <c r="P30" s="33"/>
    </row>
    <row r="31" customFormat="false" ht="33.75" hidden="false" customHeight="true" outlineLevel="0" collapsed="false">
      <c r="B31" s="8" t="s">
        <v>85</v>
      </c>
      <c r="C31" s="32" t="s">
        <v>176</v>
      </c>
      <c r="D31" s="32"/>
      <c r="E31" s="32"/>
      <c r="F31" s="32"/>
      <c r="G31" s="32"/>
      <c r="H31" s="32"/>
      <c r="I31" s="32"/>
      <c r="J31" s="32"/>
      <c r="K31" s="32"/>
      <c r="L31" s="32"/>
      <c r="M31" s="32"/>
      <c r="N31" s="32"/>
      <c r="O31" s="32"/>
      <c r="P31" s="32"/>
    </row>
    <row r="32" customFormat="false" ht="43.5" hidden="false" customHeight="true" outlineLevel="0" collapsed="false">
      <c r="C32" s="33" t="s">
        <v>177</v>
      </c>
      <c r="D32" s="33"/>
      <c r="E32" s="33"/>
      <c r="F32" s="33"/>
      <c r="G32" s="33"/>
      <c r="H32" s="33"/>
      <c r="I32" s="33"/>
      <c r="J32" s="33"/>
      <c r="K32" s="33"/>
      <c r="L32" s="33"/>
      <c r="M32" s="33"/>
      <c r="N32" s="33"/>
      <c r="O32" s="33"/>
      <c r="P32" s="33"/>
    </row>
    <row r="34" customFormat="false" ht="15" hidden="false" customHeight="true" outlineLevel="0" collapsed="false">
      <c r="B34" s="11" t="s">
        <v>178</v>
      </c>
      <c r="C34" s="11"/>
      <c r="D34" s="11"/>
      <c r="E34" s="11"/>
      <c r="F34" s="11"/>
      <c r="G34" s="11"/>
      <c r="H34" s="11"/>
      <c r="I34" s="11"/>
      <c r="J34" s="11"/>
      <c r="K34" s="11"/>
      <c r="L34" s="11"/>
      <c r="M34" s="11"/>
      <c r="N34" s="11"/>
      <c r="O34" s="11"/>
      <c r="P34" s="11"/>
      <c r="Q34" s="11"/>
      <c r="R34" s="11"/>
    </row>
    <row r="35" customFormat="false" ht="15" hidden="false" customHeight="true" outlineLevel="0" collapsed="false">
      <c r="B35" s="27" t="s">
        <v>179</v>
      </c>
      <c r="D35" s="34" t="n">
        <v>3.5</v>
      </c>
      <c r="E35" s="28" t="n">
        <f aca="false">D35*1.14</f>
        <v>3.99</v>
      </c>
      <c r="F35" s="28" t="n">
        <f aca="false">E35*1.14</f>
        <v>4.5486</v>
      </c>
      <c r="G35" s="28" t="n">
        <f aca="false">F35*1.14</f>
        <v>5.185404</v>
      </c>
      <c r="H35" s="28" t="n">
        <f aca="false">G35*1.14</f>
        <v>5.91136056</v>
      </c>
      <c r="I35" s="28" t="n">
        <f aca="false">H35*1.14</f>
        <v>6.7389510384</v>
      </c>
      <c r="J35" s="28" t="n">
        <f aca="false">I35*1.14</f>
        <v>7.682404183776</v>
      </c>
      <c r="K35" s="28" t="n">
        <f aca="false">J35*1.14</f>
        <v>8.75794076950464</v>
      </c>
      <c r="L35" s="28" t="n">
        <f aca="false">K35*1.14</f>
        <v>9.98405247723528</v>
      </c>
      <c r="M35" s="28" t="n">
        <f aca="false">L35*1.14</f>
        <v>11.3818198240482</v>
      </c>
      <c r="N35" s="28" t="n">
        <f aca="false">M35*1.14</f>
        <v>12.975274599415</v>
      </c>
      <c r="O35" s="28" t="n">
        <f aca="false">N35*1.14</f>
        <v>14.7918130433331</v>
      </c>
      <c r="P35" s="28" t="n">
        <f aca="false">O35*1.14</f>
        <v>16.8626668693997</v>
      </c>
      <c r="Q35" s="28" t="n">
        <f aca="false">P35*1.14</f>
        <v>19.2234402311157</v>
      </c>
      <c r="R35" s="28" t="n">
        <f aca="false">Q35*1.14</f>
        <v>21.9147218634718</v>
      </c>
      <c r="S35" s="28" t="n">
        <f aca="false">R35*1.14</f>
        <v>24.9827829243579</v>
      </c>
    </row>
    <row r="36" customFormat="false" ht="15" hidden="false" customHeight="true" outlineLevel="0" collapsed="false">
      <c r="B36" s="27" t="s">
        <v>180</v>
      </c>
      <c r="D36" s="35" t="n">
        <v>0</v>
      </c>
      <c r="E36" s="35" t="n">
        <f aca="false">IF(E11=1,1.5,0)</f>
        <v>1.5</v>
      </c>
      <c r="F36" s="35" t="n">
        <f aca="false">IF(F11=1,5,0)</f>
        <v>5</v>
      </c>
      <c r="G36" s="35" t="n">
        <f aca="false">IF(G11=1,12.5,0)</f>
        <v>12.5</v>
      </c>
      <c r="H36" s="35" t="n">
        <f aca="false">IF(H11=1,23,0)</f>
        <v>23</v>
      </c>
      <c r="I36" s="35" t="n">
        <f aca="false">IF(I11=1,H36*1.2,0)</f>
        <v>27.6</v>
      </c>
      <c r="J36" s="35" t="n">
        <f aca="false">IF(J11=1,I36*1.2,0)</f>
        <v>33.12</v>
      </c>
      <c r="K36" s="35" t="n">
        <f aca="false">IF(K11=1,J36*1.2,0)</f>
        <v>39.744</v>
      </c>
      <c r="L36" s="35" t="n">
        <f aca="false">IF(L11=1,K36*1.2,0)</f>
        <v>47.6928</v>
      </c>
      <c r="M36" s="35" t="n">
        <f aca="false">IF(M11=1,L36*1.2,0)</f>
        <v>57.23136</v>
      </c>
      <c r="N36" s="35" t="n">
        <f aca="false">IF(N11=1,M36*1.2,0)</f>
        <v>68.677632</v>
      </c>
      <c r="O36" s="35" t="n">
        <f aca="false">IF(O11=1,N36*1.2,0)</f>
        <v>82.4131584</v>
      </c>
      <c r="P36" s="35" t="n">
        <f aca="false">IF(P11=1,O36*1.2,0)</f>
        <v>98.89579008</v>
      </c>
      <c r="Q36" s="35" t="n">
        <f aca="false">IF(Q11=1,P36*1.2,0)</f>
        <v>118.674948096</v>
      </c>
      <c r="R36" s="35" t="n">
        <f aca="false">IF(R11=1,Q36*1.2,0)</f>
        <v>142.4099377152</v>
      </c>
      <c r="S36" s="35" t="n">
        <f aca="false">IF(S11=1,R36*1.2,0)</f>
        <v>170.89192525824</v>
      </c>
    </row>
    <row r="37" customFormat="false" ht="15" hidden="false" customHeight="true" outlineLevel="0" collapsed="false">
      <c r="B37" s="27" t="s">
        <v>181</v>
      </c>
      <c r="D37" s="35" t="n">
        <v>0</v>
      </c>
      <c r="E37" s="35" t="n">
        <v>0</v>
      </c>
      <c r="F37" s="35" t="n">
        <f aca="false">IF(F12=1,1.5,0)</f>
        <v>1.5</v>
      </c>
      <c r="G37" s="35" t="n">
        <f aca="false">IF(G12=1,5.5,0)</f>
        <v>5.5</v>
      </c>
      <c r="H37" s="35" t="n">
        <f aca="false">IF(H12=1,14,0)</f>
        <v>14</v>
      </c>
      <c r="I37" s="35" t="n">
        <f aca="false">IF(I12=1,H37*1.26,0)</f>
        <v>17.64</v>
      </c>
      <c r="J37" s="35" t="n">
        <f aca="false">IF(J12=1,I37*1.26,0)</f>
        <v>22.2264</v>
      </c>
      <c r="K37" s="35" t="n">
        <f aca="false">IF(K12=1,J37*1.26,0)</f>
        <v>28.005264</v>
      </c>
      <c r="L37" s="35" t="n">
        <f aca="false">IF(L12=1,K37*1.26,0)</f>
        <v>35.28663264</v>
      </c>
      <c r="M37" s="35" t="n">
        <f aca="false">IF(M12=1,L37*1.26,0)</f>
        <v>44.4611571264</v>
      </c>
      <c r="N37" s="35" t="n">
        <f aca="false">IF(N12=1,M37*1.26,0)</f>
        <v>56.021057979264</v>
      </c>
      <c r="O37" s="35" t="n">
        <f aca="false">IF(O12=1,N37*1.26,0)</f>
        <v>70.5865330538727</v>
      </c>
      <c r="P37" s="35" t="n">
        <f aca="false">IF(P12=1,O37*1.26,0)</f>
        <v>88.9390316478796</v>
      </c>
      <c r="Q37" s="35" t="n">
        <f aca="false">IF(Q12=1,P37*1.26,0)</f>
        <v>112.063179876328</v>
      </c>
      <c r="R37" s="35" t="n">
        <f aca="false">IF(R12=1,Q37*1.26,0)</f>
        <v>141.199606644174</v>
      </c>
      <c r="S37" s="35" t="n">
        <f aca="false">IF(S12=1,R37*1.26,0)</f>
        <v>177.911504371659</v>
      </c>
    </row>
    <row r="38" customFormat="false" ht="15" hidden="false" customHeight="true" outlineLevel="0" collapsed="false">
      <c r="B38" s="27" t="s">
        <v>182</v>
      </c>
      <c r="D38" s="35" t="n">
        <f aca="false">IF(D13=1,0,0)</f>
        <v>0</v>
      </c>
      <c r="E38" s="35" t="n">
        <f aca="false">IF(E13=1,0,0)</f>
        <v>0</v>
      </c>
      <c r="F38" s="35" t="n">
        <f aca="false">IF(F13=1,0,0)</f>
        <v>0</v>
      </c>
      <c r="G38" s="35" t="n">
        <f aca="false">IF(G13=1,3,0)</f>
        <v>3</v>
      </c>
      <c r="H38" s="35" t="n">
        <f aca="false">IF(H13=1,11,0)</f>
        <v>11</v>
      </c>
      <c r="I38" s="35" t="n">
        <f aca="false">IF(I13=1,27,0)</f>
        <v>27</v>
      </c>
      <c r="J38" s="35" t="n">
        <f aca="false">IF(J13=1,48,0)</f>
        <v>48</v>
      </c>
      <c r="K38" s="35" t="n">
        <f aca="false">IF(K13=1,J38*1.115,0)</f>
        <v>53.52</v>
      </c>
      <c r="L38" s="35" t="n">
        <f aca="false">IF(L13=1,K38*1.115,0)</f>
        <v>59.6748</v>
      </c>
      <c r="M38" s="35" t="n">
        <f aca="false">IF(M13=1,L38*1.115,0)</f>
        <v>66.537402</v>
      </c>
      <c r="N38" s="35" t="n">
        <f aca="false">IF(N13=1,M38*1.115,0)</f>
        <v>74.18920323</v>
      </c>
      <c r="O38" s="35" t="n">
        <f aca="false">IF(O13=1,N38*1.115,0)</f>
        <v>82.72096160145</v>
      </c>
      <c r="P38" s="35" t="n">
        <f aca="false">IF(P13=1,O38*1.115,0)</f>
        <v>92.2338721856168</v>
      </c>
      <c r="Q38" s="35" t="n">
        <f aca="false">IF(Q13=1,P38*1.115,0)</f>
        <v>102.840767486963</v>
      </c>
      <c r="R38" s="35" t="n">
        <f aca="false">IF(R13=1,Q38*1.115,0)</f>
        <v>114.667455747963</v>
      </c>
      <c r="S38" s="35" t="n">
        <f aca="false">IF(S13=1,R38*1.115,0)</f>
        <v>127.854213158979</v>
      </c>
    </row>
    <row r="39" customFormat="false" ht="15" hidden="false" customHeight="true" outlineLevel="0" collapsed="false">
      <c r="B39" s="27" t="s">
        <v>183</v>
      </c>
      <c r="D39" s="35" t="n">
        <f aca="false">IF(D14=1,0,0)</f>
        <v>0</v>
      </c>
      <c r="E39" s="35" t="n">
        <f aca="false">IF(E14=1,0,0)</f>
        <v>0</v>
      </c>
      <c r="F39" s="35" t="n">
        <f aca="false">IF(F14=1,0,0)</f>
        <v>0</v>
      </c>
      <c r="G39" s="35" t="n">
        <f aca="false">IF(G14=1,0,0)</f>
        <v>0</v>
      </c>
      <c r="H39" s="35" t="n">
        <f aca="false">IF(H14=1,0,0)</f>
        <v>0</v>
      </c>
      <c r="I39" s="35" t="n">
        <f aca="false">IF(I14=1,0,0)</f>
        <v>0</v>
      </c>
      <c r="J39" s="35" t="n">
        <f aca="false">IF(J14=1,0,0)</f>
        <v>0</v>
      </c>
      <c r="K39" s="35" t="n">
        <f aca="false">IF(K14=1,1,0)</f>
        <v>1</v>
      </c>
      <c r="L39" s="35" t="n">
        <f aca="false">IF(L14=1,3.5,0)</f>
        <v>3.5</v>
      </c>
      <c r="M39" s="35" t="n">
        <f aca="false">IF(M14=1,8.5,0)</f>
        <v>8.5</v>
      </c>
      <c r="N39" s="35" t="n">
        <f aca="false">IF(N14=1,16,0)</f>
        <v>16</v>
      </c>
      <c r="O39" s="35" t="n">
        <f aca="false">IF(O14=1,N39*1.16,0)</f>
        <v>18.56</v>
      </c>
      <c r="P39" s="35" t="n">
        <f aca="false">IF(P14=1,O39*1.16,0)</f>
        <v>21.5296</v>
      </c>
      <c r="Q39" s="35" t="n">
        <f aca="false">IF(Q14=1,P39*1.16,0)</f>
        <v>24.974336</v>
      </c>
      <c r="R39" s="35" t="n">
        <f aca="false">IF(R14=1,Q39*1.16,0)</f>
        <v>28.97022976</v>
      </c>
      <c r="S39" s="35" t="n">
        <f aca="false">IF(S14=1,R39*1.16,0)</f>
        <v>33.6054665216</v>
      </c>
    </row>
    <row r="40" customFormat="false" ht="15" hidden="false" customHeight="true" outlineLevel="0" collapsed="false">
      <c r="B40" s="27" t="s">
        <v>184</v>
      </c>
      <c r="D40" s="35" t="n">
        <f aca="false">IF(D15=1,0,0)</f>
        <v>0</v>
      </c>
      <c r="E40" s="35" t="n">
        <f aca="false">IF(E15=1,0,0)</f>
        <v>0</v>
      </c>
      <c r="F40" s="35" t="n">
        <f aca="false">IF(F15=1,0,0)</f>
        <v>0</v>
      </c>
      <c r="G40" s="35" t="n">
        <f aca="false">IF(G15=1,0,0)</f>
        <v>0</v>
      </c>
      <c r="H40" s="35" t="n">
        <f aca="false">IF(H15=1,0,0)</f>
        <v>0</v>
      </c>
      <c r="I40" s="35" t="n">
        <f aca="false">IF(I15=1,0,0)</f>
        <v>0</v>
      </c>
      <c r="J40" s="35" t="n">
        <f aca="false">IF(J15=1,0,0)</f>
        <v>0</v>
      </c>
      <c r="K40" s="35" t="n">
        <f aca="false">IF(K15=1,0,0)</f>
        <v>0</v>
      </c>
      <c r="L40" s="35" t="n">
        <f aca="false">IF(L15=1,0,0)</f>
        <v>0</v>
      </c>
      <c r="M40" s="35" t="n">
        <f aca="false">IF(M15=1,0.8,0)</f>
        <v>0.8</v>
      </c>
      <c r="N40" s="35" t="n">
        <f aca="false">IF(N15=1,2.5,0)</f>
        <v>2.5</v>
      </c>
      <c r="O40" s="35" t="n">
        <f aca="false">IF(O15=1,5,0)</f>
        <v>5</v>
      </c>
      <c r="P40" s="35" t="n">
        <f aca="false">IF(P15=1,O40*1.1,0)</f>
        <v>5.5</v>
      </c>
      <c r="Q40" s="35" t="n">
        <f aca="false">IF(Q15=1,P40*1.1,0)</f>
        <v>6.05</v>
      </c>
      <c r="R40" s="35" t="n">
        <f aca="false">IF(R15=1,Q40*1.1,0)</f>
        <v>6.655</v>
      </c>
      <c r="S40" s="35" t="n">
        <f aca="false">IF(S15=1,R40*1.1,0)</f>
        <v>7.3205</v>
      </c>
    </row>
    <row r="42" customFormat="false" ht="15" hidden="false" customHeight="true" outlineLevel="0" collapsed="false">
      <c r="B42" s="8" t="s">
        <v>185</v>
      </c>
      <c r="D42" s="29" t="n">
        <f aca="false">SUM(D35:D40)</f>
        <v>3.5</v>
      </c>
      <c r="E42" s="29" t="n">
        <f aca="false">SUM(E35:E40)</f>
        <v>5.49</v>
      </c>
      <c r="F42" s="29" t="n">
        <f aca="false">SUM(F35:F40)</f>
        <v>11.0486</v>
      </c>
      <c r="G42" s="29" t="n">
        <f aca="false">SUM(G35:G40)</f>
        <v>26.185404</v>
      </c>
      <c r="H42" s="29" t="n">
        <f aca="false">SUM(H35:H40)</f>
        <v>53.91136056</v>
      </c>
      <c r="I42" s="29" t="n">
        <f aca="false">SUM(I35:I40)</f>
        <v>78.9789510384</v>
      </c>
      <c r="J42" s="29" t="n">
        <f aca="false">SUM(J35:J40)</f>
        <v>111.028804183776</v>
      </c>
      <c r="K42" s="29" t="n">
        <f aca="false">SUM(K35:K40)</f>
        <v>131.027204769505</v>
      </c>
      <c r="L42" s="29" t="n">
        <f aca="false">SUM(L35:L40)</f>
        <v>156.138285117235</v>
      </c>
      <c r="M42" s="29" t="n">
        <f aca="false">SUM(M35:M40)</f>
        <v>188.911738950448</v>
      </c>
      <c r="N42" s="29" t="n">
        <f aca="false">SUM(N35:N40)</f>
        <v>230.363167808679</v>
      </c>
      <c r="O42" s="29" t="n">
        <f aca="false">SUM(O35:O40)</f>
        <v>274.072466098656</v>
      </c>
      <c r="P42" s="29" t="n">
        <f aca="false">SUM(P35:P40)</f>
        <v>323.960960782896</v>
      </c>
      <c r="Q42" s="29" t="n">
        <f aca="false">SUM(Q35:Q40)</f>
        <v>383.826671690407</v>
      </c>
      <c r="R42" s="29" t="n">
        <f aca="false">SUM(R35:R40)</f>
        <v>455.816951730809</v>
      </c>
      <c r="S42" s="29" t="n">
        <f aca="false">SUM(S35:S40)</f>
        <v>542.566392234836</v>
      </c>
    </row>
    <row r="44" customFormat="false" ht="15" hidden="false" customHeight="true" outlineLevel="0" collapsed="false">
      <c r="B44" s="11" t="s">
        <v>186</v>
      </c>
      <c r="C44" s="11"/>
      <c r="D44" s="11"/>
      <c r="E44" s="11"/>
      <c r="F44" s="11"/>
      <c r="G44" s="11"/>
      <c r="H44" s="11"/>
      <c r="I44" s="11"/>
      <c r="J44" s="11"/>
      <c r="K44" s="11"/>
      <c r="L44" s="11"/>
      <c r="M44" s="11"/>
      <c r="N44" s="11"/>
      <c r="O44" s="11"/>
      <c r="P44" s="11"/>
      <c r="Q44" s="11"/>
      <c r="R44" s="11"/>
    </row>
    <row r="45" customFormat="false" ht="54.75" hidden="false" customHeight="true" outlineLevel="0" collapsed="false">
      <c r="B45" s="5" t="s">
        <v>187</v>
      </c>
    </row>
    <row r="46" customFormat="false" ht="41.25" hidden="false" customHeight="true" outlineLevel="0" collapsed="false">
      <c r="B46" s="12" t="s">
        <v>188</v>
      </c>
      <c r="C46" s="12" t="s">
        <v>189</v>
      </c>
      <c r="D46" s="12"/>
      <c r="E46" s="12"/>
    </row>
    <row r="47" customFormat="false" ht="15" hidden="false" customHeight="true" outlineLevel="0" collapsed="false">
      <c r="B47" s="23" t="s">
        <v>190</v>
      </c>
      <c r="C47" s="36" t="n">
        <v>7</v>
      </c>
    </row>
    <row r="48" customFormat="false" ht="15" hidden="false" customHeight="true" outlineLevel="0" collapsed="false">
      <c r="B48" s="23" t="s">
        <v>191</v>
      </c>
      <c r="C48" s="34" t="n">
        <v>18</v>
      </c>
    </row>
    <row r="49" customFormat="false" ht="15" hidden="false" customHeight="true" outlineLevel="0" collapsed="false">
      <c r="B49" s="23" t="s">
        <v>192</v>
      </c>
      <c r="C49" s="14" t="n">
        <v>0.15</v>
      </c>
    </row>
    <row r="51" customFormat="false" ht="24" hidden="false" customHeight="true" outlineLevel="0" collapsed="false">
      <c r="B51" s="21" t="s">
        <v>193</v>
      </c>
    </row>
    <row r="52" customFormat="false" ht="15" hidden="false" customHeight="true" outlineLevel="0" collapsed="false">
      <c r="B52" s="27" t="s">
        <v>194</v>
      </c>
      <c r="D52" s="31" t="n">
        <v>0</v>
      </c>
      <c r="E52" s="31" t="n">
        <v>0</v>
      </c>
      <c r="F52" s="31" t="n">
        <v>1</v>
      </c>
      <c r="G52" s="31" t="n">
        <v>1</v>
      </c>
      <c r="H52" s="31" t="n">
        <v>1</v>
      </c>
      <c r="I52" s="31" t="n">
        <v>0</v>
      </c>
      <c r="J52" s="31" t="n">
        <v>1</v>
      </c>
      <c r="K52" s="31" t="n">
        <v>0</v>
      </c>
      <c r="L52" s="31" t="n">
        <v>1</v>
      </c>
      <c r="M52" s="31" t="n">
        <v>0</v>
      </c>
      <c r="N52" s="31" t="n">
        <v>1</v>
      </c>
      <c r="O52" s="31" t="n">
        <v>0</v>
      </c>
      <c r="P52" s="31" t="n">
        <v>1</v>
      </c>
      <c r="Q52" s="31" t="n">
        <v>0</v>
      </c>
      <c r="R52" s="31" t="n">
        <v>0</v>
      </c>
      <c r="S52" s="31" t="n">
        <v>0</v>
      </c>
    </row>
    <row r="53" customFormat="false" ht="15" hidden="false" customHeight="true" outlineLevel="0" collapsed="false">
      <c r="B53" s="27" t="s">
        <v>195</v>
      </c>
      <c r="D53" s="28" t="n">
        <f aca="false">D52*$C$48</f>
        <v>0</v>
      </c>
      <c r="E53" s="28" t="n">
        <f aca="false">E52*$C$48</f>
        <v>0</v>
      </c>
      <c r="F53" s="28" t="n">
        <f aca="false">F52*$C$48</f>
        <v>18</v>
      </c>
      <c r="G53" s="28" t="n">
        <f aca="false">G52*$C$48</f>
        <v>18</v>
      </c>
      <c r="H53" s="28" t="n">
        <f aca="false">H52*$C$48</f>
        <v>18</v>
      </c>
      <c r="I53" s="28" t="n">
        <f aca="false">I52*$C$48</f>
        <v>0</v>
      </c>
      <c r="J53" s="28" t="n">
        <f aca="false">J52*$C$48</f>
        <v>18</v>
      </c>
      <c r="K53" s="28" t="n">
        <f aca="false">K52*$C$48</f>
        <v>0</v>
      </c>
      <c r="L53" s="28" t="n">
        <f aca="false">L52*$C$48</f>
        <v>18</v>
      </c>
      <c r="M53" s="28" t="n">
        <f aca="false">M52*$C$48</f>
        <v>0</v>
      </c>
      <c r="N53" s="28" t="n">
        <f aca="false">N52*$C$48</f>
        <v>18</v>
      </c>
      <c r="O53" s="28" t="n">
        <f aca="false">O52*$C$48</f>
        <v>0</v>
      </c>
      <c r="P53" s="28" t="n">
        <f aca="false">P52*$C$48</f>
        <v>18</v>
      </c>
      <c r="Q53" s="28" t="n">
        <f aca="false">Q52*$C$48</f>
        <v>0</v>
      </c>
      <c r="R53" s="28" t="n">
        <f aca="false">R52*$C$48</f>
        <v>0</v>
      </c>
      <c r="S53" s="28" t="n">
        <f aca="false">S52*$C$48</f>
        <v>0</v>
      </c>
    </row>
    <row r="54" customFormat="false" ht="15" hidden="false" customHeight="true" outlineLevel="0" collapsed="false">
      <c r="B54" s="8" t="s">
        <v>196</v>
      </c>
      <c r="D54" s="29" t="n">
        <f aca="false">D53</f>
        <v>0</v>
      </c>
      <c r="E54" s="29" t="n">
        <f aca="false">D54*(1+$C$49)+E53</f>
        <v>0</v>
      </c>
      <c r="F54" s="29" t="n">
        <f aca="false">E54*(1+$C$49)+F53</f>
        <v>18</v>
      </c>
      <c r="G54" s="29" t="n">
        <f aca="false">F54*(1+$C$49)+G53</f>
        <v>38.7</v>
      </c>
      <c r="H54" s="29" t="n">
        <f aca="false">G54*(1+$C$49)+H53</f>
        <v>62.505</v>
      </c>
      <c r="I54" s="29" t="n">
        <f aca="false">H54*(1+$C$49)+I53</f>
        <v>71.88075</v>
      </c>
      <c r="J54" s="29" t="n">
        <f aca="false">I54*(1+$C$49)+J53</f>
        <v>100.6628625</v>
      </c>
      <c r="K54" s="29" t="n">
        <f aca="false">J54*(1+$C$49)+K53</f>
        <v>115.762291875</v>
      </c>
      <c r="L54" s="29" t="n">
        <f aca="false">K54*(1+$C$49)+L53</f>
        <v>151.12663565625</v>
      </c>
      <c r="M54" s="29" t="n">
        <f aca="false">L54*(1+$C$49)+M53</f>
        <v>173.795631004687</v>
      </c>
      <c r="N54" s="29" t="n">
        <f aca="false">M54*(1+$C$49)+N53</f>
        <v>217.864975655391</v>
      </c>
      <c r="O54" s="29" t="n">
        <f aca="false">N54*(1+$C$49)+O53</f>
        <v>250.544722003699</v>
      </c>
      <c r="P54" s="29" t="n">
        <f aca="false">O54*(1+$C$49)+P53</f>
        <v>306.126430304254</v>
      </c>
      <c r="Q54" s="29" t="n">
        <f aca="false">P54*(1+$C$49)+Q53</f>
        <v>352.045394849892</v>
      </c>
      <c r="R54" s="29" t="n">
        <f aca="false">Q54*(1+$C$49)+R53</f>
        <v>404.852204077376</v>
      </c>
      <c r="S54" s="29" t="n">
        <f aca="false">R54*(1+$C$49)+S53</f>
        <v>465.580034688982</v>
      </c>
    </row>
    <row r="55" customFormat="false" ht="15" hidden="false" customHeight="true" outlineLevel="0" collapsed="false">
      <c r="B55" s="37" t="s">
        <v>197</v>
      </c>
      <c r="D55" s="28" t="n">
        <f aca="false">D53*1.2</f>
        <v>0</v>
      </c>
      <c r="E55" s="28" t="n">
        <f aca="false">D55+E53*1.2</f>
        <v>0</v>
      </c>
      <c r="F55" s="28" t="n">
        <f aca="false">E55+F53*1.2</f>
        <v>21.6</v>
      </c>
      <c r="G55" s="28" t="n">
        <f aca="false">F55+G53*1.2</f>
        <v>43.2</v>
      </c>
      <c r="H55" s="28" t="n">
        <f aca="false">G55+H53*1.2</f>
        <v>64.8</v>
      </c>
      <c r="I55" s="28" t="n">
        <f aca="false">H55+I53*1.2</f>
        <v>64.8</v>
      </c>
      <c r="J55" s="28" t="n">
        <f aca="false">I55+J53*1.2</f>
        <v>86.4</v>
      </c>
      <c r="K55" s="28" t="n">
        <f aca="false">J55+K53*1.2</f>
        <v>86.4</v>
      </c>
      <c r="L55" s="28" t="n">
        <f aca="false">K55+L53*1.2</f>
        <v>108</v>
      </c>
      <c r="M55" s="28" t="n">
        <f aca="false">L55+M53*1.2</f>
        <v>108</v>
      </c>
      <c r="N55" s="28" t="n">
        <f aca="false">M55+N53*1.2</f>
        <v>129.6</v>
      </c>
      <c r="O55" s="28" t="n">
        <f aca="false">N55+O53*1.2</f>
        <v>129.6</v>
      </c>
      <c r="P55" s="28" t="n">
        <f aca="false">O55+P53*1.2</f>
        <v>151.2</v>
      </c>
      <c r="Q55" s="28" t="n">
        <f aca="false">P55+Q53*1.2</f>
        <v>151.2</v>
      </c>
      <c r="R55" s="28" t="n">
        <f aca="false">Q55+R53*1.2</f>
        <v>151.2</v>
      </c>
      <c r="S55" s="28" t="n">
        <f aca="false">R55+S53*1.2</f>
        <v>151.2</v>
      </c>
    </row>
    <row r="58" customFormat="false" ht="15" hidden="false" customHeight="true" outlineLevel="0" collapsed="false">
      <c r="B58" s="11" t="s">
        <v>198</v>
      </c>
      <c r="C58" s="11"/>
      <c r="D58" s="11"/>
      <c r="E58" s="11"/>
      <c r="F58" s="11"/>
      <c r="G58" s="11"/>
      <c r="H58" s="11"/>
      <c r="I58" s="11"/>
      <c r="J58" s="11"/>
      <c r="K58" s="11"/>
      <c r="L58" s="11"/>
      <c r="M58" s="11"/>
      <c r="N58" s="11"/>
      <c r="O58" s="11"/>
      <c r="P58" s="11"/>
      <c r="Q58" s="11"/>
      <c r="R58" s="11"/>
    </row>
    <row r="59" customFormat="false" ht="15" hidden="false" customHeight="true" outlineLevel="0" collapsed="false">
      <c r="B59" s="27" t="s">
        <v>199</v>
      </c>
      <c r="D59" s="28" t="n">
        <f aca="false">IF(D16=1,D42*'Metals Recovery'!$C$16,0)</f>
        <v>0</v>
      </c>
      <c r="E59" s="28" t="n">
        <f aca="false">IF(E16=1,E42*'Metals Recovery'!$C$16,0)</f>
        <v>0.7686</v>
      </c>
      <c r="F59" s="28" t="n">
        <f aca="false">IF(F16=1,F42*'Metals Recovery'!$C$16,0)</f>
        <v>1.546804</v>
      </c>
      <c r="G59" s="28" t="n">
        <f aca="false">IF(G16=1,G42*'Metals Recovery'!$C$16,0)</f>
        <v>3.66595656</v>
      </c>
      <c r="H59" s="28" t="n">
        <f aca="false">IF(H16=1,H42*'Metals Recovery'!$C$16,0)</f>
        <v>7.5475904784</v>
      </c>
      <c r="I59" s="28" t="n">
        <f aca="false">IF(I16=1,I42*'Metals Recovery'!$C$16,0)</f>
        <v>11.057053145376</v>
      </c>
      <c r="J59" s="28" t="n">
        <f aca="false">IF(J16=1,J42*'Metals Recovery'!$C$16,0)</f>
        <v>15.5440325857286</v>
      </c>
      <c r="K59" s="28" t="n">
        <f aca="false">IF(K16=1,K42*'Metals Recovery'!$C$16,0)</f>
        <v>18.3438086677307</v>
      </c>
      <c r="L59" s="28" t="n">
        <f aca="false">IF(L16=1,L42*'Metals Recovery'!$C$16,0)</f>
        <v>21.8593599164129</v>
      </c>
      <c r="M59" s="28" t="n">
        <f aca="false">IF(M16=1,M42*'Metals Recovery'!$C$16,0)</f>
        <v>26.4476434530628</v>
      </c>
      <c r="N59" s="28" t="n">
        <f aca="false">IF(N16=1,N42*'Metals Recovery'!$C$16,0)</f>
        <v>32.2508434932151</v>
      </c>
      <c r="O59" s="28" t="n">
        <f aca="false">IF(O16=1,O42*'Metals Recovery'!$C$16,0)</f>
        <v>38.3701452538118</v>
      </c>
      <c r="P59" s="28" t="n">
        <f aca="false">IF(P16=1,P42*'Metals Recovery'!$C$16,0)</f>
        <v>45.3545345096054</v>
      </c>
      <c r="Q59" s="28" t="n">
        <f aca="false">IF(Q16=1,Q42*'Metals Recovery'!$C$16,0)</f>
        <v>53.7357340366569</v>
      </c>
      <c r="R59" s="28" t="n">
        <f aca="false">IF(R16=1,R42*'Metals Recovery'!$C$16,0)</f>
        <v>63.8143732423132</v>
      </c>
      <c r="S59" s="28" t="n">
        <f aca="false">IF(S16=1,S42*'Metals Recovery'!$C$16,0)</f>
        <v>75.959294912877</v>
      </c>
    </row>
    <row r="60" customFormat="false" ht="31.5" hidden="false" customHeight="true" outlineLevel="0" collapsed="false">
      <c r="B60" s="16" t="s">
        <v>200</v>
      </c>
    </row>
    <row r="62" customFormat="false" ht="15" hidden="false" customHeight="true" outlineLevel="0" collapsed="false">
      <c r="B62" s="8" t="s">
        <v>201</v>
      </c>
      <c r="D62" s="29" t="n">
        <f aca="false">D42+D59+D54</f>
        <v>3.5</v>
      </c>
      <c r="E62" s="29" t="n">
        <f aca="false">E42+E59+E54</f>
        <v>6.2586</v>
      </c>
      <c r="F62" s="29" t="n">
        <f aca="false">F42+F59+F54</f>
        <v>30.595404</v>
      </c>
      <c r="G62" s="29" t="n">
        <f aca="false">G42+G59+G54</f>
        <v>68.55136056</v>
      </c>
      <c r="H62" s="29" t="n">
        <f aca="false">H42+H59+H54</f>
        <v>123.9639510384</v>
      </c>
      <c r="I62" s="29" t="n">
        <f aca="false">I42+I59+I54</f>
        <v>161.916754183776</v>
      </c>
      <c r="J62" s="29" t="n">
        <f aca="false">J42+J59+J54</f>
        <v>227.235699269505</v>
      </c>
      <c r="K62" s="29" t="n">
        <f aca="false">K42+K59+K54</f>
        <v>265.133305312235</v>
      </c>
      <c r="L62" s="29" t="n">
        <f aca="false">L42+L59+L54</f>
        <v>329.124280689898</v>
      </c>
      <c r="M62" s="29" t="n">
        <f aca="false">M42+M59+M54</f>
        <v>389.155013408198</v>
      </c>
      <c r="N62" s="29" t="n">
        <f aca="false">N42+N59+N54</f>
        <v>480.478986957285</v>
      </c>
      <c r="O62" s="29" t="n">
        <f aca="false">O42+O59+O54</f>
        <v>562.987333356167</v>
      </c>
      <c r="P62" s="29" t="n">
        <f aca="false">P42+P59+P54</f>
        <v>675.441925596755</v>
      </c>
      <c r="Q62" s="29" t="n">
        <f aca="false">Q42+Q59+Q54</f>
        <v>789.607800576956</v>
      </c>
      <c r="R62" s="29" t="n">
        <f aca="false">R42+R59+R54</f>
        <v>924.483529050498</v>
      </c>
      <c r="S62" s="29" t="n">
        <f aca="false">S42+S59+S54</f>
        <v>1084.1057218367</v>
      </c>
    </row>
    <row r="63" customFormat="false" ht="15" hidden="false" customHeight="true" outlineLevel="0" collapsed="false">
      <c r="B63" s="15" t="s">
        <v>202</v>
      </c>
      <c r="E63" s="19" t="n">
        <f aca="false">IFERROR(E62/D62-1,"")</f>
        <v>0.788171428571429</v>
      </c>
      <c r="F63" s="19" t="n">
        <f aca="false">IFERROR(F62/E62-1,"")</f>
        <v>3.88853801169591</v>
      </c>
      <c r="G63" s="19" t="n">
        <f aca="false">IFERROR(G62/F62-1,"")</f>
        <v>1.24057706706537</v>
      </c>
      <c r="H63" s="19" t="n">
        <f aca="false">IFERROR(H62/G62-1,"")</f>
        <v>0.808336844458394</v>
      </c>
      <c r="I63" s="19" t="n">
        <f aca="false">IFERROR(I62/H62-1,"")</f>
        <v>0.306159999156686</v>
      </c>
      <c r="J63" s="19" t="n">
        <f aca="false">IFERROR(J62/I62-1,"")</f>
        <v>0.403410662565478</v>
      </c>
      <c r="K63" s="19" t="n">
        <f aca="false">IFERROR(K62/J62-1,"")</f>
        <v>0.166776638373989</v>
      </c>
      <c r="L63" s="19" t="n">
        <f aca="false">IFERROR(L62/K62-1,"")</f>
        <v>0.241353968345484</v>
      </c>
      <c r="M63" s="19" t="n">
        <f aca="false">IFERROR(M62/L62-1,"")</f>
        <v>0.182395332828274</v>
      </c>
      <c r="N63" s="19" t="n">
        <f aca="false">IFERROR(N62/M62-1,"")</f>
        <v>0.23467248372127</v>
      </c>
      <c r="O63" s="19" t="n">
        <f aca="false">IFERROR(O62/N62-1,"")</f>
        <v>0.171721029719489</v>
      </c>
      <c r="P63" s="19" t="n">
        <f aca="false">IFERROR(P62/O62-1,"")</f>
        <v>0.199746220878909</v>
      </c>
      <c r="Q63" s="19" t="n">
        <f aca="false">IFERROR(Q62/P62-1,"")</f>
        <v>0.169023968832456</v>
      </c>
      <c r="R63" s="19" t="n">
        <f aca="false">IFERROR(R62/Q62-1,"")</f>
        <v>0.170813571465467</v>
      </c>
      <c r="S63" s="19" t="n">
        <f aca="false">IFERROR(S62/R62-1,"")</f>
        <v>0.17266093745352</v>
      </c>
    </row>
    <row r="65" customFormat="false" ht="27.75" hidden="false" customHeight="true" outlineLevel="0" collapsed="false">
      <c r="B65" s="21" t="s">
        <v>203</v>
      </c>
    </row>
    <row r="66" customFormat="false" ht="15" hidden="false" customHeight="true" outlineLevel="0" collapsed="false">
      <c r="B66" s="15" t="s">
        <v>204</v>
      </c>
      <c r="D66" s="28" t="n">
        <f aca="false">'TAM-SAM-SOM'!C50</f>
        <v>1086.38776958863</v>
      </c>
    </row>
    <row r="67" customFormat="false" ht="15" hidden="false" customHeight="true" outlineLevel="0" collapsed="false">
      <c r="B67" s="38" t="s">
        <v>205</v>
      </c>
      <c r="D67" s="28" t="n">
        <f aca="false">'TAM-SAM-SOM'!C49</f>
        <v>10863.8776958863</v>
      </c>
    </row>
    <row r="68" customFormat="false" ht="15" hidden="false" customHeight="true" outlineLevel="0" collapsed="false">
      <c r="B68" s="39" t="s">
        <v>206</v>
      </c>
      <c r="D68" s="28" t="n">
        <f aca="false">S62</f>
        <v>1084.1057218367</v>
      </c>
    </row>
    <row r="69" customFormat="false" ht="15" hidden="false" customHeight="true" outlineLevel="0" collapsed="false">
      <c r="B69" s="6" t="s">
        <v>207</v>
      </c>
      <c r="D69" s="19" t="n">
        <f aca="false">D68/'TAM-SAM-SOM'!C49</f>
        <v>0.0997899416933976</v>
      </c>
    </row>
    <row r="70" customFormat="false" ht="144.75" hidden="false" customHeight="true" outlineLevel="0" collapsed="false">
      <c r="B70" s="40" t="s">
        <v>208</v>
      </c>
    </row>
  </sheetData>
  <mergeCells count="17">
    <mergeCell ref="B9:R9"/>
    <mergeCell ref="B18:R18"/>
    <mergeCell ref="C21:P21"/>
    <mergeCell ref="C22:P22"/>
    <mergeCell ref="C23:P23"/>
    <mergeCell ref="C24:P24"/>
    <mergeCell ref="C25:P25"/>
    <mergeCell ref="C26:P26"/>
    <mergeCell ref="C27:P27"/>
    <mergeCell ref="C28:P28"/>
    <mergeCell ref="C29:P29"/>
    <mergeCell ref="C30:P30"/>
    <mergeCell ref="C31:P31"/>
    <mergeCell ref="C32:P32"/>
    <mergeCell ref="B34:R34"/>
    <mergeCell ref="B44:R44"/>
    <mergeCell ref="B58:R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4" min="3" style="1" width="16"/>
    <col collapsed="false" customWidth="true" hidden="false" outlineLevel="0" max="5" min="5" style="1" width="34"/>
    <col collapsed="false" customWidth="true" hidden="false" outlineLevel="0" max="6" min="6" style="1" width="3"/>
  </cols>
  <sheetData>
    <row r="2" customFormat="false" ht="19.5" hidden="false" customHeight="true" outlineLevel="0" collapsed="false">
      <c r="B2" s="2" t="s">
        <v>209</v>
      </c>
    </row>
    <row r="3" customFormat="false" ht="15" hidden="false" customHeight="true" outlineLevel="0" collapsed="false">
      <c r="B3" s="3" t="s">
        <v>210</v>
      </c>
    </row>
    <row r="6" customFormat="false" ht="15" hidden="false" customHeight="true" outlineLevel="0" collapsed="false">
      <c r="B6" s="11" t="s">
        <v>211</v>
      </c>
      <c r="C6" s="11"/>
      <c r="D6" s="11"/>
      <c r="E6" s="11"/>
    </row>
    <row r="7" customFormat="false" ht="15" hidden="false" customHeight="true" outlineLevel="0" collapsed="false">
      <c r="B7" s="12" t="s">
        <v>212</v>
      </c>
      <c r="C7" s="12" t="s">
        <v>213</v>
      </c>
      <c r="D7" s="12" t="s">
        <v>214</v>
      </c>
      <c r="E7" s="12" t="s">
        <v>35</v>
      </c>
    </row>
    <row r="8" customFormat="false" ht="31.5" hidden="false" customHeight="true" outlineLevel="0" collapsed="false">
      <c r="B8" s="5" t="s">
        <v>215</v>
      </c>
      <c r="C8" s="23" t="s">
        <v>216</v>
      </c>
      <c r="D8" s="41" t="s">
        <v>37</v>
      </c>
      <c r="E8" s="16" t="s">
        <v>217</v>
      </c>
    </row>
    <row r="9" customFormat="false" ht="31.5" hidden="false" customHeight="true" outlineLevel="0" collapsed="false">
      <c r="B9" s="5" t="s">
        <v>218</v>
      </c>
      <c r="C9" s="23" t="s">
        <v>219</v>
      </c>
      <c r="D9" s="41" t="s">
        <v>37</v>
      </c>
      <c r="E9" s="16" t="s">
        <v>220</v>
      </c>
    </row>
    <row r="10" customFormat="false" ht="31.5" hidden="false" customHeight="true" outlineLevel="0" collapsed="false">
      <c r="B10" s="5" t="s">
        <v>221</v>
      </c>
      <c r="C10" s="23" t="s">
        <v>222</v>
      </c>
      <c r="D10" s="41" t="s">
        <v>37</v>
      </c>
      <c r="E10" s="16" t="s">
        <v>223</v>
      </c>
    </row>
    <row r="11" customFormat="false" ht="31.5" hidden="false" customHeight="true" outlineLevel="0" collapsed="false">
      <c r="B11" s="5" t="s">
        <v>224</v>
      </c>
      <c r="C11" s="23" t="s">
        <v>225</v>
      </c>
      <c r="D11" s="41" t="s">
        <v>37</v>
      </c>
      <c r="E11" s="16" t="s">
        <v>226</v>
      </c>
    </row>
    <row r="13" customFormat="false" ht="15" hidden="false" customHeight="true" outlineLevel="0" collapsed="false">
      <c r="B13" s="11" t="s">
        <v>227</v>
      </c>
      <c r="C13" s="11"/>
      <c r="D13" s="11"/>
      <c r="E13" s="11"/>
    </row>
    <row r="14" customFormat="false" ht="45" hidden="false" customHeight="true" outlineLevel="0" collapsed="false">
      <c r="B14" s="21" t="s">
        <v>228</v>
      </c>
    </row>
    <row r="16" customFormat="false" ht="15" hidden="false" customHeight="true" outlineLevel="0" collapsed="false">
      <c r="B16" s="23" t="s">
        <v>229</v>
      </c>
      <c r="C16" s="14" t="n">
        <v>0.14</v>
      </c>
    </row>
    <row r="18" customFormat="false" ht="15" hidden="false" customHeight="true" outlineLevel="0" collapsed="false">
      <c r="B18" s="8" t="s">
        <v>230</v>
      </c>
    </row>
    <row r="19" customFormat="false" ht="33.75" hidden="false" customHeight="true" outlineLevel="0" collapsed="false">
      <c r="B19" s="5" t="s">
        <v>231</v>
      </c>
    </row>
    <row r="20" customFormat="false" ht="33.75" hidden="false" customHeight="true" outlineLevel="0" collapsed="false">
      <c r="B20" s="5" t="s">
        <v>232</v>
      </c>
    </row>
    <row r="21" customFormat="false" ht="33.75" hidden="false" customHeight="true" outlineLevel="0" collapsed="false">
      <c r="B21" s="5" t="s">
        <v>233</v>
      </c>
    </row>
    <row r="23" customFormat="false" ht="15" hidden="false" customHeight="true" outlineLevel="0" collapsed="false">
      <c r="B23" s="7" t="s">
        <v>234</v>
      </c>
    </row>
    <row r="24" customFormat="false" ht="54.75" hidden="false" customHeight="true" outlineLevel="0" collapsed="false">
      <c r="B24" s="5" t="s">
        <v>235</v>
      </c>
    </row>
  </sheetData>
  <mergeCells count="2">
    <mergeCell ref="B6:E6"/>
    <mergeCell ref="B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3"/>
    <col collapsed="false" customWidth="true" hidden="false" outlineLevel="0" max="19" min="4" style="1" width="10"/>
    <col collapsed="false" customWidth="true" hidden="false" outlineLevel="0" max="20" min="20" style="1" width="3"/>
  </cols>
  <sheetData>
    <row r="2" customFormat="false" ht="19.5" hidden="false" customHeight="true" outlineLevel="0" collapsed="false">
      <c r="B2" s="2" t="s">
        <v>236</v>
      </c>
    </row>
    <row r="3" customFormat="false" ht="15" hidden="false" customHeight="true" outlineLevel="0" collapsed="false">
      <c r="B3" s="3" t="s">
        <v>237</v>
      </c>
    </row>
    <row r="6" customFormat="false" ht="15" hidden="false" customHeight="true" outlineLevel="0" collapsed="false">
      <c r="B6" s="8" t="s">
        <v>73</v>
      </c>
      <c r="D6" s="25" t="n">
        <v>2026</v>
      </c>
      <c r="E6" s="25" t="n">
        <v>2027</v>
      </c>
      <c r="F6" s="25" t="n">
        <v>2028</v>
      </c>
      <c r="G6" s="25" t="n">
        <v>2029</v>
      </c>
      <c r="H6" s="25" t="n">
        <v>2030</v>
      </c>
      <c r="I6" s="25" t="n">
        <v>2031</v>
      </c>
      <c r="J6" s="25" t="n">
        <v>2032</v>
      </c>
      <c r="K6" s="25" t="n">
        <v>2033</v>
      </c>
      <c r="L6" s="25" t="n">
        <v>2034</v>
      </c>
      <c r="M6" s="25" t="n">
        <v>2035</v>
      </c>
      <c r="N6" s="25" t="n">
        <v>2036</v>
      </c>
      <c r="O6" s="25" t="n">
        <v>2037</v>
      </c>
      <c r="P6" s="25" t="n">
        <v>2038</v>
      </c>
      <c r="Q6" s="25" t="n">
        <v>2039</v>
      </c>
      <c r="R6" s="25" t="n">
        <v>2040</v>
      </c>
      <c r="S6" s="25" t="n">
        <v>2041</v>
      </c>
    </row>
    <row r="8" customFormat="false" ht="15" hidden="false" customHeight="true" outlineLevel="0" collapsed="false">
      <c r="B8" s="11" t="s">
        <v>238</v>
      </c>
      <c r="C8" s="11"/>
      <c r="D8" s="11"/>
      <c r="E8" s="11"/>
      <c r="F8" s="11"/>
      <c r="G8" s="11"/>
      <c r="H8" s="11"/>
      <c r="I8" s="11"/>
      <c r="J8" s="11"/>
      <c r="K8" s="11"/>
      <c r="L8" s="11"/>
      <c r="M8" s="11"/>
      <c r="N8" s="11"/>
      <c r="O8" s="11"/>
      <c r="P8" s="11"/>
      <c r="Q8" s="11"/>
      <c r="R8" s="11"/>
    </row>
    <row r="9" customFormat="false" ht="39.75" hidden="false" customHeight="true" outlineLevel="0" collapsed="false">
      <c r="B9" s="21" t="s">
        <v>239</v>
      </c>
    </row>
    <row r="11" customFormat="false" ht="149.25" hidden="false" customHeight="true" outlineLevel="0" collapsed="false">
      <c r="B11" s="12" t="s">
        <v>240</v>
      </c>
      <c r="C11" s="12" t="s">
        <v>241</v>
      </c>
      <c r="D11" s="12"/>
      <c r="E11" s="12"/>
    </row>
    <row r="12" customFormat="false" ht="15" hidden="false" customHeight="true" outlineLevel="0" collapsed="false">
      <c r="B12" s="27" t="s">
        <v>242</v>
      </c>
      <c r="C12" s="36" t="n">
        <v>180</v>
      </c>
    </row>
    <row r="13" customFormat="false" ht="15" hidden="false" customHeight="true" outlineLevel="0" collapsed="false">
      <c r="B13" s="27" t="s">
        <v>243</v>
      </c>
      <c r="C13" s="36" t="n">
        <v>260</v>
      </c>
    </row>
    <row r="14" customFormat="false" ht="15" hidden="false" customHeight="true" outlineLevel="0" collapsed="false">
      <c r="B14" s="27" t="s">
        <v>244</v>
      </c>
      <c r="C14" s="36" t="n">
        <v>500</v>
      </c>
    </row>
    <row r="15" customFormat="false" ht="15" hidden="false" customHeight="true" outlineLevel="0" collapsed="false">
      <c r="B15" s="27" t="s">
        <v>245</v>
      </c>
      <c r="C15" s="36" t="n">
        <v>350</v>
      </c>
    </row>
    <row r="16" customFormat="false" ht="15" hidden="false" customHeight="true" outlineLevel="0" collapsed="false">
      <c r="B16" s="27" t="s">
        <v>246</v>
      </c>
      <c r="C16" s="36" t="n">
        <v>400</v>
      </c>
    </row>
    <row r="17" customFormat="false" ht="15" hidden="false" customHeight="true" outlineLevel="0" collapsed="false">
      <c r="B17" s="27" t="s">
        <v>247</v>
      </c>
      <c r="C17" s="36" t="n">
        <v>450</v>
      </c>
    </row>
    <row r="19" customFormat="false" ht="15" hidden="false" customHeight="true" outlineLevel="0" collapsed="false">
      <c r="B19" s="11" t="s">
        <v>248</v>
      </c>
      <c r="C19" s="11"/>
      <c r="D19" s="11"/>
      <c r="E19" s="11"/>
      <c r="F19" s="11"/>
      <c r="G19" s="11"/>
      <c r="H19" s="11"/>
      <c r="I19" s="11"/>
      <c r="J19" s="11"/>
      <c r="K19" s="11"/>
      <c r="L19" s="11"/>
      <c r="M19" s="11"/>
      <c r="N19" s="11"/>
      <c r="O19" s="11"/>
      <c r="P19" s="11"/>
      <c r="Q19" s="11"/>
      <c r="R19" s="11"/>
    </row>
    <row r="20" customFormat="false" ht="15" hidden="false" customHeight="true" outlineLevel="0" collapsed="false">
      <c r="B20" s="27" t="s">
        <v>249</v>
      </c>
      <c r="D20" s="14" t="n">
        <v>0.35</v>
      </c>
      <c r="E20" s="14" t="n">
        <v>0.38</v>
      </c>
      <c r="F20" s="14" t="n">
        <v>0.42</v>
      </c>
      <c r="G20" s="14" t="n">
        <v>0.45</v>
      </c>
      <c r="H20" s="14" t="n">
        <v>0.48</v>
      </c>
      <c r="I20" s="14" t="n">
        <v>0.5</v>
      </c>
      <c r="J20" s="14" t="n">
        <v>0.52</v>
      </c>
      <c r="K20" s="14" t="n">
        <v>0.54</v>
      </c>
      <c r="L20" s="14" t="n">
        <v>0.55</v>
      </c>
      <c r="M20" s="14" t="n">
        <v>0.56</v>
      </c>
      <c r="N20" s="14" t="n">
        <v>0.57</v>
      </c>
      <c r="O20" s="14" t="n">
        <v>0.58</v>
      </c>
      <c r="P20" s="14" t="n">
        <v>0.58</v>
      </c>
      <c r="Q20" s="14" t="n">
        <v>0.59</v>
      </c>
      <c r="R20" s="14" t="n">
        <v>0.59</v>
      </c>
      <c r="S20" s="14" t="n">
        <v>0.6</v>
      </c>
    </row>
    <row r="21" customFormat="false" ht="15" hidden="false" customHeight="true" outlineLevel="0" collapsed="false">
      <c r="B21" s="27" t="s">
        <v>250</v>
      </c>
      <c r="D21" s="14" t="n">
        <v>0.05</v>
      </c>
      <c r="E21" s="14" t="n">
        <v>0.08</v>
      </c>
      <c r="F21" s="14" t="n">
        <v>0.1</v>
      </c>
      <c r="G21" s="14" t="n">
        <v>0.11</v>
      </c>
      <c r="H21" s="14" t="n">
        <v>0.12</v>
      </c>
      <c r="I21" s="14" t="n">
        <v>0.13</v>
      </c>
      <c r="J21" s="14" t="n">
        <v>0.13</v>
      </c>
      <c r="K21" s="14" t="n">
        <v>0.14</v>
      </c>
      <c r="L21" s="14" t="n">
        <v>0.14</v>
      </c>
      <c r="M21" s="14" t="n">
        <v>0.14</v>
      </c>
      <c r="N21" s="14" t="n">
        <v>0.14</v>
      </c>
      <c r="O21" s="14" t="n">
        <v>0.14</v>
      </c>
      <c r="P21" s="14" t="n">
        <v>0.14</v>
      </c>
      <c r="Q21" s="14" t="n">
        <v>0.14</v>
      </c>
      <c r="R21" s="14" t="n">
        <v>0.14</v>
      </c>
      <c r="S21" s="14" t="n">
        <v>0.14</v>
      </c>
    </row>
    <row r="22" customFormat="false" ht="15" hidden="false" customHeight="true" outlineLevel="0" collapsed="false">
      <c r="B22" s="27" t="s">
        <v>251</v>
      </c>
      <c r="D22" s="14" t="n">
        <v>0.15</v>
      </c>
      <c r="E22" s="14" t="n">
        <v>0.14</v>
      </c>
      <c r="F22" s="14" t="n">
        <v>0.13</v>
      </c>
      <c r="G22" s="14" t="n">
        <v>0.12</v>
      </c>
      <c r="H22" s="14" t="n">
        <v>0.11</v>
      </c>
      <c r="I22" s="14" t="n">
        <v>0.1</v>
      </c>
      <c r="J22" s="14" t="n">
        <v>0.09</v>
      </c>
      <c r="K22" s="14" t="n">
        <v>0.08</v>
      </c>
      <c r="L22" s="14" t="n">
        <v>0.08</v>
      </c>
      <c r="M22" s="14" t="n">
        <v>0.07</v>
      </c>
      <c r="N22" s="14" t="n">
        <v>0.07</v>
      </c>
      <c r="O22" s="14" t="n">
        <v>0.07</v>
      </c>
      <c r="P22" s="14" t="n">
        <v>0.07</v>
      </c>
      <c r="Q22" s="14" t="n">
        <v>0.06</v>
      </c>
      <c r="R22" s="14" t="n">
        <v>0.06</v>
      </c>
      <c r="S22" s="14" t="n">
        <v>0.06</v>
      </c>
    </row>
    <row r="23" customFormat="false" ht="15" hidden="false" customHeight="true" outlineLevel="0" collapsed="false">
      <c r="B23" s="27" t="s">
        <v>245</v>
      </c>
      <c r="D23" s="14" t="n">
        <v>0.15</v>
      </c>
      <c r="E23" s="14" t="n">
        <v>0.14</v>
      </c>
      <c r="F23" s="14" t="n">
        <v>0.13</v>
      </c>
      <c r="G23" s="14" t="n">
        <v>0.13</v>
      </c>
      <c r="H23" s="14" t="n">
        <v>0.12</v>
      </c>
      <c r="I23" s="14" t="n">
        <v>0.11</v>
      </c>
      <c r="J23" s="14" t="n">
        <v>0.11</v>
      </c>
      <c r="K23" s="14" t="n">
        <v>0.1</v>
      </c>
      <c r="L23" s="14" t="n">
        <v>0.1</v>
      </c>
      <c r="M23" s="14" t="n">
        <v>0.1</v>
      </c>
      <c r="N23" s="14" t="n">
        <v>0.09</v>
      </c>
      <c r="O23" s="14" t="n">
        <v>0.09</v>
      </c>
      <c r="P23" s="14" t="n">
        <v>0.09</v>
      </c>
      <c r="Q23" s="14" t="n">
        <v>0.09</v>
      </c>
      <c r="R23" s="14" t="n">
        <v>0.09</v>
      </c>
      <c r="S23" s="14" t="n">
        <v>0.08</v>
      </c>
    </row>
    <row r="24" customFormat="false" ht="15" hidden="false" customHeight="true" outlineLevel="0" collapsed="false">
      <c r="B24" s="27" t="s">
        <v>246</v>
      </c>
      <c r="D24" s="14" t="n">
        <v>0.1</v>
      </c>
      <c r="E24" s="14" t="n">
        <v>0.1</v>
      </c>
      <c r="F24" s="14" t="n">
        <v>0.1</v>
      </c>
      <c r="G24" s="14" t="n">
        <v>0.09</v>
      </c>
      <c r="H24" s="14" t="n">
        <v>0.09</v>
      </c>
      <c r="I24" s="14" t="n">
        <v>0.08</v>
      </c>
      <c r="J24" s="14" t="n">
        <v>0.08</v>
      </c>
      <c r="K24" s="14" t="n">
        <v>0.08</v>
      </c>
      <c r="L24" s="14" t="n">
        <v>0.07</v>
      </c>
      <c r="M24" s="14" t="n">
        <v>0.07</v>
      </c>
      <c r="N24" s="14" t="n">
        <v>0.07</v>
      </c>
      <c r="O24" s="14" t="n">
        <v>0.06</v>
      </c>
      <c r="P24" s="14" t="n">
        <v>0.06</v>
      </c>
      <c r="Q24" s="14" t="n">
        <v>0.06</v>
      </c>
      <c r="R24" s="14" t="n">
        <v>0.06</v>
      </c>
      <c r="S24" s="14" t="n">
        <v>0.06</v>
      </c>
    </row>
    <row r="25" customFormat="false" ht="15" hidden="false" customHeight="true" outlineLevel="0" collapsed="false">
      <c r="B25" s="27" t="s">
        <v>252</v>
      </c>
      <c r="D25" s="14" t="n">
        <v>0.2</v>
      </c>
      <c r="E25" s="14" t="n">
        <v>0.16</v>
      </c>
      <c r="F25" s="14" t="n">
        <v>0.12</v>
      </c>
      <c r="G25" s="14" t="n">
        <v>0.1</v>
      </c>
      <c r="H25" s="14" t="n">
        <v>0.08</v>
      </c>
      <c r="I25" s="14" t="n">
        <v>0.08</v>
      </c>
      <c r="J25" s="14" t="n">
        <v>0.07</v>
      </c>
      <c r="K25" s="14" t="n">
        <v>0.06</v>
      </c>
      <c r="L25" s="14" t="n">
        <v>0.06</v>
      </c>
      <c r="M25" s="14" t="n">
        <v>0.06</v>
      </c>
      <c r="N25" s="14" t="n">
        <v>0.06</v>
      </c>
      <c r="O25" s="14" t="n">
        <v>0.06</v>
      </c>
      <c r="P25" s="14" t="n">
        <v>0.06</v>
      </c>
      <c r="Q25" s="14" t="n">
        <v>0.06</v>
      </c>
      <c r="R25" s="14" t="n">
        <v>0.06</v>
      </c>
      <c r="S25" s="14" t="n">
        <v>0.06</v>
      </c>
    </row>
    <row r="27" customFormat="false" ht="21.75" hidden="false" customHeight="true" outlineLevel="0" collapsed="false">
      <c r="B27" s="42" t="s">
        <v>253</v>
      </c>
      <c r="D27" s="43" t="n">
        <f aca="false">D20*C12+D21*C13+D22*C14+D23*C15+D24*C16+D25*C17</f>
        <v>333.5</v>
      </c>
      <c r="E27" s="43" t="n">
        <f aca="false">E20*C12+E21*C13+E22*C14+E23*C15+E24*C16+E25*C17</f>
        <v>320.2</v>
      </c>
      <c r="F27" s="43" t="n">
        <f aca="false">F20*C12+F21*C13+F22*C14+F23*C15+F24*C16+F25*C17</f>
        <v>306.1</v>
      </c>
      <c r="G27" s="43" t="n">
        <f aca="false">G20*C12+G21*C13+G22*C14+G23*C15+G24*C16+G25*C17</f>
        <v>296.1</v>
      </c>
      <c r="H27" s="43" t="n">
        <f aca="false">H20*C12+H21*C13+H22*C14+H23*C15+H24*C16+H25*C17</f>
        <v>286.6</v>
      </c>
      <c r="I27" s="43" t="n">
        <f aca="false">I20*C12+I21*C13+I22*C14+I23*C15+I24*C16+I25*C17</f>
        <v>280.3</v>
      </c>
      <c r="J27" s="43" t="n">
        <f aca="false">J20*C12+J21*C13+J22*C14+J23*C15+J24*C16+J25*C17</f>
        <v>274.4</v>
      </c>
      <c r="K27" s="43" t="n">
        <f aca="false">K20*C12+K21*C13+K22*C14+K23*C15+K24*C16+K25*C17</f>
        <v>267.6</v>
      </c>
      <c r="L27" s="43" t="n">
        <f aca="false">L20*C12+L21*C13+L22*C14+L23*C15+L24*C16+L25*C17</f>
        <v>265.4</v>
      </c>
      <c r="M27" s="43" t="n">
        <f aca="false">M20*C12+M21*C13+M22*C14+M23*C15+M24*C16+M25*C17</f>
        <v>262.2</v>
      </c>
      <c r="N27" s="43" t="n">
        <f aca="false">N20*C12+N21*C13+N22*C14+N23*C15+N24*C16+N25*C17</f>
        <v>260.5</v>
      </c>
      <c r="O27" s="43" t="n">
        <f aca="false">O20*C12+O21*C13+O22*C14+O23*C15+O24*C16+O25*C17</f>
        <v>258.3</v>
      </c>
      <c r="P27" s="43" t="n">
        <f aca="false">P20*C12+P21*C13+P22*C14+P23*C15+P24*C16+P25*C17</f>
        <v>258.3</v>
      </c>
      <c r="Q27" s="43" t="n">
        <f aca="false">Q20*C12+Q21*C13+Q22*C14+Q23*C15+Q24*C16+Q25*C17</f>
        <v>255.1</v>
      </c>
      <c r="R27" s="43" t="n">
        <f aca="false">R20*C12+R21*C13+R22*C14+R23*C15+R24*C16+R25*C17</f>
        <v>255.1</v>
      </c>
      <c r="S27" s="43" t="n">
        <f aca="false">S20*C12+S21*C13+S22*C14+S23*C15+S24*C16+S25*C17</f>
        <v>253.4</v>
      </c>
    </row>
    <row r="29" customFormat="false" ht="15" hidden="false" customHeight="true" outlineLevel="0" collapsed="false">
      <c r="B29" s="23" t="s">
        <v>254</v>
      </c>
      <c r="C29" s="36" t="n">
        <v>140</v>
      </c>
    </row>
    <row r="31" customFormat="false" ht="15" hidden="false" customHeight="true" outlineLevel="0" collapsed="false">
      <c r="B31" s="11" t="s">
        <v>255</v>
      </c>
      <c r="C31" s="11"/>
      <c r="D31" s="11"/>
      <c r="E31" s="11"/>
      <c r="F31" s="11"/>
      <c r="G31" s="11"/>
      <c r="H31" s="11"/>
      <c r="I31" s="11"/>
      <c r="J31" s="11"/>
      <c r="K31" s="11"/>
      <c r="L31" s="11"/>
      <c r="M31" s="11"/>
      <c r="N31" s="11"/>
      <c r="O31" s="11"/>
      <c r="P31" s="11"/>
      <c r="Q31" s="11"/>
      <c r="R31" s="11"/>
    </row>
    <row r="32" customFormat="false" ht="21.75" hidden="false" customHeight="true" outlineLevel="0" collapsed="false">
      <c r="B32" s="42" t="s">
        <v>256</v>
      </c>
      <c r="D32" s="43" t="n">
        <f aca="false">IFERROR((1-('Revenue Build'!D54/'Revenue Build'!D62))*D27+('Revenue Build'!D54/'Revenue Build'!D62)*$C$29,D27)</f>
        <v>333.5</v>
      </c>
      <c r="E32" s="43" t="n">
        <f aca="false">IFERROR((1-('Revenue Build'!E54/'Revenue Build'!E62))*E27+('Revenue Build'!E54/'Revenue Build'!E62)*$C$29,E27)</f>
        <v>320.2</v>
      </c>
      <c r="F32" s="43" t="n">
        <f aca="false">IFERROR((1-('Revenue Build'!F54/'Revenue Build'!F62))*F27+('Revenue Build'!F54/'Revenue Build'!F62)*$C$29,F27)</f>
        <v>208.379440402225</v>
      </c>
      <c r="G32" s="43" t="n">
        <f aca="false">IFERROR((1-('Revenue Build'!G54/'Revenue Build'!G62))*G27+('Revenue Build'!G54/'Revenue Build'!G62)*$C$29,G27)</f>
        <v>207.975272049305</v>
      </c>
      <c r="H32" s="43" t="n">
        <f aca="false">IFERROR((1-('Revenue Build'!H54/'Revenue Build'!H62))*H27+('Revenue Build'!H54/'Revenue Build'!H62)*$C$29,H27)</f>
        <v>212.681470272261</v>
      </c>
      <c r="I32" s="43" t="n">
        <f aca="false">IFERROR((1-('Revenue Build'!I54/'Revenue Build'!I62))*I27+('Revenue Build'!I54/'Revenue Build'!I62)*$C$29,I27)</f>
        <v>218.015715239983</v>
      </c>
      <c r="J32" s="43" t="n">
        <f aca="false">IFERROR((1-('Revenue Build'!J54/'Revenue Build'!J62))*J27+('Revenue Build'!J54/'Revenue Build'!J62)*$C$29,J27)</f>
        <v>214.862309560109</v>
      </c>
      <c r="K32" s="43" t="n">
        <f aca="false">IFERROR((1-('Revenue Build'!K54/'Revenue Build'!K62))*K27+('Revenue Build'!K54/'Revenue Build'!K62)*$C$29,K27)</f>
        <v>211.887389975942</v>
      </c>
      <c r="L32" s="43" t="n">
        <f aca="false">IFERROR((1-('Revenue Build'!L54/'Revenue Build'!L62))*L27+('Revenue Build'!L54/'Revenue Build'!L62)*$C$29,L27)</f>
        <v>207.819076248131</v>
      </c>
      <c r="M32" s="43" t="n">
        <f aca="false">IFERROR((1-('Revenue Build'!M54/'Revenue Build'!M62))*M27+('Revenue Build'!M54/'Revenue Build'!M62)*$C$29,M27)</f>
        <v>207.62579338045</v>
      </c>
      <c r="N32" s="43" t="n">
        <f aca="false">IFERROR((1-('Revenue Build'!N54/'Revenue Build'!N62))*N27+('Revenue Build'!N54/'Revenue Build'!N62)*$C$29,N27)</f>
        <v>205.861336751219</v>
      </c>
      <c r="O32" s="43" t="n">
        <f aca="false">IFERROR((1-('Revenue Build'!O54/'Revenue Build'!O62))*O27+('Revenue Build'!O54/'Revenue Build'!O62)*$C$29,O27)</f>
        <v>205.653272699145</v>
      </c>
      <c r="P32" s="43" t="n">
        <f aca="false">IFERROR((1-('Revenue Build'!P54/'Revenue Build'!P62))*P27+('Revenue Build'!P54/'Revenue Build'!P62)*$C$29,P27)</f>
        <v>204.683611480739</v>
      </c>
      <c r="Q32" s="43" t="n">
        <f aca="false">IFERROR((1-('Revenue Build'!Q54/'Revenue Build'!Q62))*Q27+('Revenue Build'!Q54/'Revenue Build'!Q62)*$C$29,Q27)</f>
        <v>203.782846195776</v>
      </c>
      <c r="R32" s="43" t="n">
        <f aca="false">IFERROR((1-('Revenue Build'!R54/'Revenue Build'!R62))*R27+('Revenue Build'!R54/'Revenue Build'!R62)*$C$29,R27)</f>
        <v>204.69511205444</v>
      </c>
      <c r="S32" s="43" t="n">
        <f aca="false">IFERROR((1-('Revenue Build'!S54/'Revenue Build'!S62))*S27+('Revenue Build'!S54/'Revenue Build'!S62)*$C$29,S27)</f>
        <v>204.699236900731</v>
      </c>
    </row>
    <row r="33" customFormat="false" ht="15" hidden="false" customHeight="true" outlineLevel="0" collapsed="false">
      <c r="B33" s="8" t="s">
        <v>257</v>
      </c>
      <c r="D33" s="44" t="n">
        <f aca="false">'Revenue Build'!D62*1000/D32</f>
        <v>10.4947526236882</v>
      </c>
      <c r="E33" s="44" t="n">
        <f aca="false">'Revenue Build'!E62*1000/E32</f>
        <v>19.5459088069956</v>
      </c>
      <c r="F33" s="44" t="n">
        <f aca="false">'Revenue Build'!F62*1000/F32</f>
        <v>146.825444683713</v>
      </c>
      <c r="G33" s="44" t="n">
        <f aca="false">'Revenue Build'!G62*1000/G32</f>
        <v>329.613034686876</v>
      </c>
      <c r="H33" s="44" t="n">
        <f aca="false">'Revenue Build'!H62*1000/H32</f>
        <v>582.862018396382</v>
      </c>
      <c r="I33" s="44" t="n">
        <f aca="false">'Revenue Build'!I62*1000/I32</f>
        <v>742.683865727498</v>
      </c>
      <c r="J33" s="44" t="n">
        <f aca="false">'Revenue Build'!J62*1000/J32</f>
        <v>1057.58753005461</v>
      </c>
      <c r="K33" s="44" t="n">
        <f aca="false">'Revenue Build'!K62*1000/K32</f>
        <v>1251.29345990027</v>
      </c>
      <c r="L33" s="44" t="n">
        <f aca="false">'Revenue Build'!L62*1000/L32</f>
        <v>1583.70582061933</v>
      </c>
      <c r="M33" s="44" t="n">
        <f aca="false">'Revenue Build'!M62*1000/M32</f>
        <v>1874.30957913364</v>
      </c>
      <c r="N33" s="44" t="n">
        <f aca="false">'Revenue Build'!N62*1000/N32</f>
        <v>2333.99333036459</v>
      </c>
      <c r="O33" s="44" t="n">
        <f aca="false">'Revenue Build'!O62*1000/O32</f>
        <v>2737.55591616465</v>
      </c>
      <c r="P33" s="44" t="n">
        <f aca="false">'Revenue Build'!P62*1000/P32</f>
        <v>3299.93163942348</v>
      </c>
      <c r="Q33" s="44" t="n">
        <f aca="false">'Revenue Build'!Q62*1000/Q32</f>
        <v>3874.75106623239</v>
      </c>
      <c r="R33" s="44" t="n">
        <f aca="false">'Revenue Build'!R62*1000/R32</f>
        <v>4516.39279400391</v>
      </c>
      <c r="S33" s="44" t="n">
        <f aca="false">'Revenue Build'!S62*1000/S32</f>
        <v>5296.09068529372</v>
      </c>
    </row>
    <row r="35" customFormat="false" ht="15" hidden="false" customHeight="true" outlineLevel="0" collapsed="false">
      <c r="B35" s="8" t="s">
        <v>258</v>
      </c>
    </row>
    <row r="36" customFormat="false" ht="15" hidden="false" customHeight="true" outlineLevel="0" collapsed="false">
      <c r="B36" s="27" t="s">
        <v>259</v>
      </c>
      <c r="D36" s="43" t="n">
        <f aca="false">D33*D20</f>
        <v>3.67316341829085</v>
      </c>
      <c r="E36" s="43" t="n">
        <f aca="false">E33*E20</f>
        <v>7.42744534665834</v>
      </c>
      <c r="F36" s="43" t="n">
        <f aca="false">F33*F20</f>
        <v>61.6666867671595</v>
      </c>
      <c r="G36" s="43" t="n">
        <f aca="false">G33*G20</f>
        <v>148.325865609094</v>
      </c>
      <c r="H36" s="43" t="n">
        <f aca="false">H33*H20</f>
        <v>279.773768830263</v>
      </c>
      <c r="I36" s="43" t="n">
        <f aca="false">I33*I20</f>
        <v>371.341932863749</v>
      </c>
      <c r="J36" s="43" t="n">
        <f aca="false">J33*J20</f>
        <v>549.945515628398</v>
      </c>
      <c r="K36" s="43" t="n">
        <f aca="false">K33*K20</f>
        <v>675.698468346148</v>
      </c>
      <c r="L36" s="43" t="n">
        <f aca="false">L33*L20</f>
        <v>871.038201340633</v>
      </c>
      <c r="M36" s="43" t="n">
        <f aca="false">M33*M20</f>
        <v>1049.61336431484</v>
      </c>
      <c r="N36" s="43" t="n">
        <f aca="false">N33*N20</f>
        <v>1330.37619830782</v>
      </c>
      <c r="O36" s="43" t="n">
        <f aca="false">O33*O20</f>
        <v>1587.7824313755</v>
      </c>
      <c r="P36" s="43" t="n">
        <f aca="false">P33*P20</f>
        <v>1913.96035086562</v>
      </c>
      <c r="Q36" s="43" t="n">
        <f aca="false">Q33*Q20</f>
        <v>2286.10312907711</v>
      </c>
      <c r="R36" s="43" t="n">
        <f aca="false">R33*R20</f>
        <v>2664.67174846231</v>
      </c>
      <c r="S36" s="43" t="n">
        <f aca="false">S33*S20</f>
        <v>3177.65441117623</v>
      </c>
    </row>
    <row r="37" customFormat="false" ht="15" hidden="false" customHeight="true" outlineLevel="0" collapsed="false">
      <c r="B37" s="27" t="s">
        <v>260</v>
      </c>
      <c r="D37" s="43" t="n">
        <f aca="false">D33*D21</f>
        <v>0.524737631184408</v>
      </c>
      <c r="E37" s="43" t="n">
        <f aca="false">E33*E21</f>
        <v>1.56367270455965</v>
      </c>
      <c r="F37" s="43" t="n">
        <f aca="false">F33*F21</f>
        <v>14.6825444683713</v>
      </c>
      <c r="G37" s="43" t="n">
        <f aca="false">G33*G21</f>
        <v>36.2574338155563</v>
      </c>
      <c r="H37" s="43" t="n">
        <f aca="false">H33*H21</f>
        <v>69.9434422075659</v>
      </c>
      <c r="I37" s="43" t="n">
        <f aca="false">I33*I21</f>
        <v>96.5489025445748</v>
      </c>
      <c r="J37" s="43" t="n">
        <f aca="false">J33*J21</f>
        <v>137.486378907099</v>
      </c>
      <c r="K37" s="43" t="n">
        <f aca="false">K33*K21</f>
        <v>175.181084386038</v>
      </c>
      <c r="L37" s="43" t="n">
        <f aca="false">L33*L21</f>
        <v>221.718814886707</v>
      </c>
      <c r="M37" s="43" t="n">
        <f aca="false">M33*M21</f>
        <v>262.403341078709</v>
      </c>
      <c r="N37" s="43" t="n">
        <f aca="false">N33*N21</f>
        <v>326.759066251043</v>
      </c>
      <c r="O37" s="43" t="n">
        <f aca="false">O33*O21</f>
        <v>383.257828263051</v>
      </c>
      <c r="P37" s="43" t="n">
        <f aca="false">P33*P21</f>
        <v>461.990429519288</v>
      </c>
      <c r="Q37" s="43" t="n">
        <f aca="false">Q33*Q21</f>
        <v>542.465149272535</v>
      </c>
      <c r="R37" s="43" t="n">
        <f aca="false">R33*R21</f>
        <v>632.294991160548</v>
      </c>
      <c r="S37" s="43" t="n">
        <f aca="false">S33*S21</f>
        <v>741.45269594112</v>
      </c>
    </row>
    <row r="38" customFormat="false" ht="15" hidden="false" customHeight="true" outlineLevel="0" collapsed="false">
      <c r="B38" s="27" t="s">
        <v>261</v>
      </c>
      <c r="D38" s="43" t="n">
        <f aca="false">D33*D22</f>
        <v>1.57421289355322</v>
      </c>
      <c r="E38" s="43" t="n">
        <f aca="false">E33*E22</f>
        <v>2.73642723297939</v>
      </c>
      <c r="F38" s="43" t="n">
        <f aca="false">F33*F22</f>
        <v>19.0873078088827</v>
      </c>
      <c r="G38" s="43" t="n">
        <f aca="false">G33*G22</f>
        <v>39.5535641624251</v>
      </c>
      <c r="H38" s="43" t="n">
        <f aca="false">H33*H22</f>
        <v>64.114822023602</v>
      </c>
      <c r="I38" s="43" t="n">
        <f aca="false">I33*I22</f>
        <v>74.2683865727499</v>
      </c>
      <c r="J38" s="43" t="n">
        <f aca="false">J33*J22</f>
        <v>95.182877704915</v>
      </c>
      <c r="K38" s="43" t="n">
        <f aca="false">K33*K22</f>
        <v>100.103476792022</v>
      </c>
      <c r="L38" s="43" t="n">
        <f aca="false">L33*L22</f>
        <v>126.696465649547</v>
      </c>
      <c r="M38" s="43" t="n">
        <f aca="false">M33*M22</f>
        <v>131.201670539355</v>
      </c>
      <c r="N38" s="43" t="n">
        <f aca="false">N33*N22</f>
        <v>163.379533125522</v>
      </c>
      <c r="O38" s="43" t="n">
        <f aca="false">O33*O22</f>
        <v>191.628914131525</v>
      </c>
      <c r="P38" s="43" t="n">
        <f aca="false">P33*P22</f>
        <v>230.995214759644</v>
      </c>
      <c r="Q38" s="43" t="n">
        <f aca="false">Q33*Q22</f>
        <v>232.485063973944</v>
      </c>
      <c r="R38" s="43" t="n">
        <f aca="false">R33*R22</f>
        <v>270.983567640235</v>
      </c>
      <c r="S38" s="43" t="n">
        <f aca="false">S33*S22</f>
        <v>317.765441117623</v>
      </c>
    </row>
    <row r="39" customFormat="false" ht="15" hidden="false" customHeight="true" outlineLevel="0" collapsed="false">
      <c r="B39" s="27" t="s">
        <v>262</v>
      </c>
      <c r="D39" s="43" t="n">
        <f aca="false">D33*D23</f>
        <v>1.57421289355322</v>
      </c>
      <c r="E39" s="43" t="n">
        <f aca="false">E33*E23</f>
        <v>2.73642723297939</v>
      </c>
      <c r="F39" s="43" t="n">
        <f aca="false">F33*F23</f>
        <v>19.0873078088827</v>
      </c>
      <c r="G39" s="43" t="n">
        <f aca="false">G33*G23</f>
        <v>42.8496945092939</v>
      </c>
      <c r="H39" s="43" t="n">
        <f aca="false">H33*H23</f>
        <v>69.9434422075659</v>
      </c>
      <c r="I39" s="43" t="n">
        <f aca="false">I33*I23</f>
        <v>81.6952252300248</v>
      </c>
      <c r="J39" s="43" t="n">
        <f aca="false">J33*J23</f>
        <v>116.334628306007</v>
      </c>
      <c r="K39" s="43" t="n">
        <f aca="false">K33*K23</f>
        <v>125.129345990027</v>
      </c>
      <c r="L39" s="43" t="n">
        <f aca="false">L33*L23</f>
        <v>158.370582061933</v>
      </c>
      <c r="M39" s="43" t="n">
        <f aca="false">M33*M23</f>
        <v>187.430957913364</v>
      </c>
      <c r="N39" s="43" t="n">
        <f aca="false">N33*N23</f>
        <v>210.059399732813</v>
      </c>
      <c r="O39" s="43" t="n">
        <f aca="false">O33*O23</f>
        <v>246.380032454818</v>
      </c>
      <c r="P39" s="43" t="n">
        <f aca="false">P33*P23</f>
        <v>296.993847548114</v>
      </c>
      <c r="Q39" s="43" t="n">
        <f aca="false">Q33*Q23</f>
        <v>348.727595960915</v>
      </c>
      <c r="R39" s="43" t="n">
        <f aca="false">R33*R23</f>
        <v>406.475351460352</v>
      </c>
      <c r="S39" s="43" t="n">
        <f aca="false">S33*S23</f>
        <v>423.687254823497</v>
      </c>
    </row>
    <row r="40" customFormat="false" ht="15" hidden="false" customHeight="true" outlineLevel="0" collapsed="false">
      <c r="B40" s="27" t="s">
        <v>263</v>
      </c>
      <c r="D40" s="43" t="n">
        <f aca="false">D33*D24</f>
        <v>1.04947526236882</v>
      </c>
      <c r="E40" s="43" t="n">
        <f aca="false">E33*E24</f>
        <v>1.95459088069956</v>
      </c>
      <c r="F40" s="43" t="n">
        <f aca="false">F33*F24</f>
        <v>14.6825444683713</v>
      </c>
      <c r="G40" s="43" t="n">
        <f aca="false">G33*G24</f>
        <v>29.6651731218188</v>
      </c>
      <c r="H40" s="43" t="n">
        <f aca="false">H33*H24</f>
        <v>52.4575816556744</v>
      </c>
      <c r="I40" s="43" t="n">
        <f aca="false">I33*I24</f>
        <v>59.4147092581999</v>
      </c>
      <c r="J40" s="43" t="n">
        <f aca="false">J33*J24</f>
        <v>84.6070024043689</v>
      </c>
      <c r="K40" s="43" t="n">
        <f aca="false">K33*K24</f>
        <v>100.103476792022</v>
      </c>
      <c r="L40" s="43" t="n">
        <f aca="false">L33*L24</f>
        <v>110.859407443353</v>
      </c>
      <c r="M40" s="43" t="n">
        <f aca="false">M33*M24</f>
        <v>131.201670539355</v>
      </c>
      <c r="N40" s="43" t="n">
        <f aca="false">N33*N24</f>
        <v>163.379533125522</v>
      </c>
      <c r="O40" s="43" t="n">
        <f aca="false">O33*O24</f>
        <v>164.253354969879</v>
      </c>
      <c r="P40" s="43" t="n">
        <f aca="false">P33*P24</f>
        <v>197.995898365409</v>
      </c>
      <c r="Q40" s="43" t="n">
        <f aca="false">Q33*Q24</f>
        <v>232.485063973944</v>
      </c>
      <c r="R40" s="43" t="n">
        <f aca="false">R33*R24</f>
        <v>270.983567640235</v>
      </c>
      <c r="S40" s="43" t="n">
        <f aca="false">S33*S24</f>
        <v>317.765441117623</v>
      </c>
    </row>
    <row r="41" customFormat="false" ht="15" hidden="false" customHeight="true" outlineLevel="0" collapsed="false">
      <c r="B41" s="27" t="s">
        <v>264</v>
      </c>
      <c r="D41" s="43" t="n">
        <f aca="false">D33*D25</f>
        <v>2.09895052473763</v>
      </c>
      <c r="E41" s="43" t="n">
        <f aca="false">E33*E25</f>
        <v>3.1273454091193</v>
      </c>
      <c r="F41" s="43" t="n">
        <f aca="false">F33*F25</f>
        <v>17.6190533620456</v>
      </c>
      <c r="G41" s="43" t="n">
        <f aca="false">G33*G25</f>
        <v>32.9613034686876</v>
      </c>
      <c r="H41" s="43" t="n">
        <f aca="false">H33*H25</f>
        <v>46.6289614717106</v>
      </c>
      <c r="I41" s="43" t="n">
        <f aca="false">I33*I25</f>
        <v>59.4147092581999</v>
      </c>
      <c r="J41" s="43" t="n">
        <f aca="false">J33*J25</f>
        <v>74.0311271038228</v>
      </c>
      <c r="K41" s="43" t="n">
        <f aca="false">K33*K25</f>
        <v>75.0776075940164</v>
      </c>
      <c r="L41" s="43" t="n">
        <f aca="false">L33*L25</f>
        <v>95.02234923716</v>
      </c>
      <c r="M41" s="43" t="n">
        <f aca="false">M33*M25</f>
        <v>112.458574748018</v>
      </c>
      <c r="N41" s="43" t="n">
        <f aca="false">N33*N25</f>
        <v>140.039599821876</v>
      </c>
      <c r="O41" s="43" t="n">
        <f aca="false">O33*O25</f>
        <v>164.253354969879</v>
      </c>
      <c r="P41" s="43" t="n">
        <f aca="false">P33*P25</f>
        <v>197.995898365409</v>
      </c>
      <c r="Q41" s="43" t="n">
        <f aca="false">Q33*Q25</f>
        <v>232.485063973944</v>
      </c>
      <c r="R41" s="43" t="n">
        <f aca="false">R33*R25</f>
        <v>270.983567640235</v>
      </c>
      <c r="S41" s="43" t="n">
        <f aca="false">S33*S25</f>
        <v>317.765441117623</v>
      </c>
    </row>
    <row r="43" customFormat="false" ht="27.75" hidden="false" customHeight="true" outlineLevel="0" collapsed="false">
      <c r="B43" s="21" t="s">
        <v>265</v>
      </c>
    </row>
    <row r="44" customFormat="false" ht="15" hidden="false" customHeight="true" outlineLevel="0" collapsed="false">
      <c r="B44" s="23" t="s">
        <v>266</v>
      </c>
      <c r="C44" s="45" t="n">
        <f aca="false">S33</f>
        <v>5296.09068529372</v>
      </c>
    </row>
    <row r="45" customFormat="false" ht="15" hidden="false" customHeight="true" outlineLevel="0" collapsed="false">
      <c r="B45" s="23" t="s">
        <v>267</v>
      </c>
      <c r="C45" s="28" t="n">
        <f aca="false">'Revenue Build'!S62</f>
        <v>1084.1057218367</v>
      </c>
    </row>
    <row r="46" customFormat="false" ht="15" hidden="false" customHeight="true" outlineLevel="0" collapsed="false">
      <c r="B46" s="23" t="s">
        <v>268</v>
      </c>
      <c r="C46" s="43" t="n">
        <f aca="false">'Revenue Build'!S62*1000/S33</f>
        <v>204.699236900731</v>
      </c>
    </row>
    <row r="47" customFormat="false" ht="64.5" hidden="false" customHeight="true" outlineLevel="0" collapsed="false">
      <c r="B47" s="5" t="s">
        <v>269</v>
      </c>
    </row>
  </sheetData>
  <mergeCells count="3">
    <mergeCell ref="B8:R8"/>
    <mergeCell ref="B19:R19"/>
    <mergeCell ref="B31:R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5" min="3" style="1" width="16"/>
    <col collapsed="false" customWidth="true" hidden="false" outlineLevel="0" max="6" min="6" style="1" width="40"/>
    <col collapsed="false" customWidth="true" hidden="false" outlineLevel="0" max="7" min="7" style="1" width="3"/>
  </cols>
  <sheetData>
    <row r="2" customFormat="false" ht="19.5" hidden="false" customHeight="true" outlineLevel="0" collapsed="false">
      <c r="B2" s="2" t="s">
        <v>270</v>
      </c>
    </row>
    <row r="3" customFormat="false" ht="15" hidden="false" customHeight="true" outlineLevel="0" collapsed="false">
      <c r="B3" s="3" t="s">
        <v>271</v>
      </c>
    </row>
    <row r="6" customFormat="false" ht="54.75" hidden="false" customHeight="true" outlineLevel="0" collapsed="false">
      <c r="B6" s="21" t="s">
        <v>272</v>
      </c>
    </row>
    <row r="8" customFormat="false" ht="15" hidden="false" customHeight="true" outlineLevel="0" collapsed="false">
      <c r="B8" s="11" t="s">
        <v>273</v>
      </c>
      <c r="C8" s="11"/>
      <c r="D8" s="11"/>
      <c r="E8" s="11"/>
    </row>
    <row r="9" customFormat="false" ht="27.75" hidden="false" customHeight="true" outlineLevel="0" collapsed="false">
      <c r="B9" s="12" t="s">
        <v>274</v>
      </c>
      <c r="C9" s="12" t="s">
        <v>275</v>
      </c>
      <c r="D9" s="12" t="s">
        <v>276</v>
      </c>
      <c r="E9" s="12" t="s">
        <v>277</v>
      </c>
    </row>
    <row r="10" customFormat="false" ht="30" hidden="false" customHeight="true" outlineLevel="0" collapsed="false">
      <c r="B10" s="5" t="s">
        <v>278</v>
      </c>
      <c r="C10" s="5" t="s">
        <v>279</v>
      </c>
      <c r="D10" s="46" t="s">
        <v>280</v>
      </c>
      <c r="E10" s="5" t="s">
        <v>281</v>
      </c>
    </row>
    <row r="11" customFormat="false" ht="30" hidden="false" customHeight="true" outlineLevel="0" collapsed="false">
      <c r="B11" s="5" t="s">
        <v>190</v>
      </c>
      <c r="C11" s="5" t="s">
        <v>282</v>
      </c>
      <c r="D11" s="46" t="s">
        <v>283</v>
      </c>
      <c r="E11" s="5" t="s">
        <v>284</v>
      </c>
    </row>
    <row r="12" customFormat="false" ht="30" hidden="false" customHeight="true" outlineLevel="0" collapsed="false">
      <c r="B12" s="5" t="s">
        <v>285</v>
      </c>
      <c r="C12" s="5" t="s">
        <v>286</v>
      </c>
      <c r="D12" s="46" t="s">
        <v>287</v>
      </c>
      <c r="E12" s="5" t="s">
        <v>288</v>
      </c>
    </row>
    <row r="13" customFormat="false" ht="30" hidden="false" customHeight="true" outlineLevel="0" collapsed="false">
      <c r="B13" s="5" t="s">
        <v>289</v>
      </c>
      <c r="C13" s="5" t="s">
        <v>290</v>
      </c>
      <c r="D13" s="46" t="s">
        <v>291</v>
      </c>
      <c r="E13" s="5" t="s">
        <v>292</v>
      </c>
    </row>
    <row r="14" customFormat="false" ht="30" hidden="false" customHeight="true" outlineLevel="0" collapsed="false">
      <c r="B14" s="5" t="s">
        <v>293</v>
      </c>
      <c r="C14" s="5" t="s">
        <v>294</v>
      </c>
      <c r="D14" s="46" t="s">
        <v>295</v>
      </c>
      <c r="E14" s="5" t="s">
        <v>296</v>
      </c>
    </row>
    <row r="15" customFormat="false" ht="30" hidden="false" customHeight="true" outlineLevel="0" collapsed="false">
      <c r="B15" s="5" t="s">
        <v>297</v>
      </c>
      <c r="C15" s="5" t="s">
        <v>298</v>
      </c>
      <c r="D15" s="46" t="s">
        <v>299</v>
      </c>
      <c r="E15" s="5" t="s">
        <v>300</v>
      </c>
    </row>
    <row r="16" customFormat="false" ht="30" hidden="false" customHeight="true" outlineLevel="0" collapsed="false">
      <c r="B16" s="5" t="s">
        <v>301</v>
      </c>
      <c r="C16" s="5" t="s">
        <v>302</v>
      </c>
      <c r="D16" s="46" t="s">
        <v>303</v>
      </c>
      <c r="E16" s="5" t="s">
        <v>304</v>
      </c>
    </row>
    <row r="17" customFormat="false" ht="30" hidden="false" customHeight="true" outlineLevel="0" collapsed="false">
      <c r="B17" s="5" t="s">
        <v>305</v>
      </c>
      <c r="C17" s="5" t="s">
        <v>306</v>
      </c>
      <c r="D17" s="46" t="s">
        <v>307</v>
      </c>
      <c r="E17" s="5" t="s">
        <v>308</v>
      </c>
    </row>
    <row r="18" customFormat="false" ht="30" hidden="false" customHeight="true" outlineLevel="0" collapsed="false">
      <c r="B18" s="5" t="s">
        <v>309</v>
      </c>
      <c r="C18" s="5" t="s">
        <v>310</v>
      </c>
      <c r="D18" s="46" t="s">
        <v>311</v>
      </c>
      <c r="E18" s="5" t="s">
        <v>312</v>
      </c>
    </row>
    <row r="20" customFormat="false" ht="15" hidden="false" customHeight="true" outlineLevel="0" collapsed="false">
      <c r="B20" s="11" t="s">
        <v>313</v>
      </c>
      <c r="C20" s="11"/>
      <c r="D20" s="11"/>
      <c r="E20" s="11"/>
    </row>
    <row r="21" customFormat="false" ht="15" hidden="false" customHeight="true" outlineLevel="0" collapsed="false">
      <c r="B21" s="12" t="s">
        <v>314</v>
      </c>
      <c r="C21" s="12" t="s">
        <v>275</v>
      </c>
      <c r="D21" s="12" t="s">
        <v>315</v>
      </c>
      <c r="E21" s="12" t="s">
        <v>277</v>
      </c>
    </row>
    <row r="22" customFormat="false" ht="39.75" hidden="false" customHeight="true" outlineLevel="0" collapsed="false">
      <c r="B22" s="46" t="s">
        <v>316</v>
      </c>
      <c r="C22" s="5" t="s">
        <v>317</v>
      </c>
      <c r="D22" s="46" t="s">
        <v>318</v>
      </c>
      <c r="E22" s="5" t="s">
        <v>319</v>
      </c>
    </row>
    <row r="23" customFormat="false" ht="39.75" hidden="false" customHeight="true" outlineLevel="0" collapsed="false">
      <c r="B23" s="46" t="s">
        <v>320</v>
      </c>
      <c r="C23" s="5" t="s">
        <v>321</v>
      </c>
      <c r="D23" s="46" t="s">
        <v>322</v>
      </c>
      <c r="E23" s="5" t="s">
        <v>323</v>
      </c>
    </row>
    <row r="24" customFormat="false" ht="39.75" hidden="false" customHeight="true" outlineLevel="0" collapsed="false">
      <c r="B24" s="46" t="s">
        <v>324</v>
      </c>
      <c r="C24" s="5" t="s">
        <v>325</v>
      </c>
      <c r="D24" s="46" t="s">
        <v>326</v>
      </c>
      <c r="E24" s="5" t="s">
        <v>327</v>
      </c>
    </row>
    <row r="26" customFormat="false" ht="15" hidden="false" customHeight="true" outlineLevel="0" collapsed="false">
      <c r="B26" s="8" t="s">
        <v>328</v>
      </c>
    </row>
    <row r="27" customFormat="false" ht="90" hidden="false" customHeight="true" outlineLevel="0" collapsed="false">
      <c r="B27" s="5" t="s">
        <v>329</v>
      </c>
    </row>
    <row r="28" customFormat="false" ht="54.75" hidden="false" customHeight="true" outlineLevel="0" collapsed="false">
      <c r="B28" s="5" t="s">
        <v>330</v>
      </c>
    </row>
    <row r="29" customFormat="false" ht="54.75" hidden="false" customHeight="true" outlineLevel="0" collapsed="false">
      <c r="B29" s="47" t="s">
        <v>331</v>
      </c>
    </row>
  </sheetData>
  <mergeCells count="2">
    <mergeCell ref="B8:E8"/>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55"/>
    <col collapsed="false" customWidth="true" hidden="false" outlineLevel="0" max="4" min="4" style="1" width="12"/>
    <col collapsed="false" customWidth="true" hidden="false" outlineLevel="0" max="5" min="5" style="1" width="3"/>
  </cols>
  <sheetData>
    <row r="2" customFormat="false" ht="19.5" hidden="false" customHeight="true" outlineLevel="0" collapsed="false">
      <c r="B2" s="2" t="s">
        <v>332</v>
      </c>
    </row>
    <row r="3" customFormat="false" ht="15" hidden="false" customHeight="true" outlineLevel="0" collapsed="false">
      <c r="B3" s="3" t="s">
        <v>333</v>
      </c>
    </row>
    <row r="6" customFormat="false" ht="15" hidden="false" customHeight="true" outlineLevel="0" collapsed="false">
      <c r="B6" s="12" t="s">
        <v>334</v>
      </c>
      <c r="C6" s="12" t="s">
        <v>335</v>
      </c>
      <c r="D6" s="12" t="s">
        <v>336</v>
      </c>
    </row>
    <row r="7" customFormat="false" ht="30" hidden="false" customHeight="true" outlineLevel="0" collapsed="false">
      <c r="B7" s="5" t="s">
        <v>337</v>
      </c>
      <c r="C7" s="48" t="s">
        <v>338</v>
      </c>
      <c r="D7" s="27" t="s">
        <v>339</v>
      </c>
    </row>
    <row r="8" customFormat="false" ht="30" hidden="false" customHeight="true" outlineLevel="0" collapsed="false">
      <c r="B8" s="5" t="s">
        <v>340</v>
      </c>
      <c r="C8" s="48" t="s">
        <v>341</v>
      </c>
      <c r="D8" s="27" t="s">
        <v>342</v>
      </c>
    </row>
    <row r="9" customFormat="false" ht="30" hidden="false" customHeight="true" outlineLevel="0" collapsed="false">
      <c r="B9" s="5" t="s">
        <v>343</v>
      </c>
      <c r="C9" s="48" t="s">
        <v>344</v>
      </c>
      <c r="D9" s="27" t="s">
        <v>339</v>
      </c>
    </row>
    <row r="10" customFormat="false" ht="30" hidden="false" customHeight="true" outlineLevel="0" collapsed="false">
      <c r="B10" s="5" t="s">
        <v>345</v>
      </c>
      <c r="C10" s="48" t="s">
        <v>346</v>
      </c>
      <c r="D10" s="27" t="s">
        <v>347</v>
      </c>
    </row>
    <row r="11" customFormat="false" ht="30" hidden="false" customHeight="true" outlineLevel="0" collapsed="false">
      <c r="B11" s="5" t="s">
        <v>348</v>
      </c>
      <c r="C11" s="48" t="s">
        <v>349</v>
      </c>
      <c r="D11" s="27" t="s">
        <v>347</v>
      </c>
    </row>
    <row r="12" customFormat="false" ht="30" hidden="false" customHeight="true" outlineLevel="0" collapsed="false">
      <c r="B12" s="5" t="s">
        <v>350</v>
      </c>
      <c r="C12" s="48" t="s">
        <v>349</v>
      </c>
      <c r="D12" s="27" t="s">
        <v>347</v>
      </c>
    </row>
    <row r="13" customFormat="false" ht="30" hidden="false" customHeight="true" outlineLevel="0" collapsed="false">
      <c r="B13" s="5" t="s">
        <v>351</v>
      </c>
      <c r="C13" s="48" t="s">
        <v>352</v>
      </c>
      <c r="D13" s="27" t="s">
        <v>347</v>
      </c>
    </row>
    <row r="14" customFormat="false" ht="30" hidden="false" customHeight="true" outlineLevel="0" collapsed="false">
      <c r="B14" s="5" t="s">
        <v>353</v>
      </c>
      <c r="C14" s="48" t="s">
        <v>354</v>
      </c>
      <c r="D14" s="27" t="s">
        <v>347</v>
      </c>
    </row>
    <row r="15" customFormat="false" ht="30" hidden="false" customHeight="true" outlineLevel="0" collapsed="false">
      <c r="B15" s="5" t="s">
        <v>355</v>
      </c>
      <c r="C15" s="48" t="s">
        <v>356</v>
      </c>
      <c r="D15" s="27" t="s">
        <v>357</v>
      </c>
    </row>
    <row r="16" customFormat="false" ht="30" hidden="false" customHeight="true" outlineLevel="0" collapsed="false">
      <c r="B16" s="5" t="s">
        <v>358</v>
      </c>
      <c r="C16" s="48" t="s">
        <v>359</v>
      </c>
      <c r="D16" s="27" t="s">
        <v>360</v>
      </c>
    </row>
    <row r="17" customFormat="false" ht="30" hidden="false" customHeight="true" outlineLevel="0" collapsed="false">
      <c r="B17" s="5" t="s">
        <v>361</v>
      </c>
      <c r="C17" s="48" t="s">
        <v>362</v>
      </c>
      <c r="D17" s="27" t="s">
        <v>347</v>
      </c>
    </row>
    <row r="18" customFormat="false" ht="30" hidden="false" customHeight="true" outlineLevel="0" collapsed="false">
      <c r="B18" s="5" t="s">
        <v>363</v>
      </c>
      <c r="C18" s="48" t="s">
        <v>364</v>
      </c>
      <c r="D18" s="27" t="s">
        <v>365</v>
      </c>
    </row>
    <row r="19" customFormat="false" ht="30" hidden="false" customHeight="true" outlineLevel="0" collapsed="false">
      <c r="B19" s="5" t="s">
        <v>366</v>
      </c>
      <c r="C19" s="48" t="s">
        <v>367</v>
      </c>
      <c r="D19" s="27" t="s">
        <v>368</v>
      </c>
    </row>
    <row r="20" customFormat="false" ht="30" hidden="false" customHeight="true" outlineLevel="0" collapsed="false">
      <c r="B20" s="5" t="s">
        <v>369</v>
      </c>
      <c r="C20" s="48" t="s">
        <v>370</v>
      </c>
      <c r="D20" s="27" t="s">
        <v>371</v>
      </c>
    </row>
    <row r="21" customFormat="false" ht="30" hidden="false" customHeight="true" outlineLevel="0" collapsed="false">
      <c r="B21" s="5" t="s">
        <v>372</v>
      </c>
      <c r="C21" s="48" t="s">
        <v>373</v>
      </c>
      <c r="D21" s="27" t="s">
        <v>374</v>
      </c>
    </row>
    <row r="22" customFormat="false" ht="30" hidden="false" customHeight="true" outlineLevel="0" collapsed="false">
      <c r="B22" s="5" t="s">
        <v>375</v>
      </c>
      <c r="C22" s="48" t="s">
        <v>376</v>
      </c>
      <c r="D22" s="27" t="s">
        <v>374</v>
      </c>
    </row>
    <row r="23" customFormat="false" ht="30" hidden="false" customHeight="true" outlineLevel="0" collapsed="false">
      <c r="B23" s="5" t="s">
        <v>377</v>
      </c>
      <c r="C23" s="48" t="s">
        <v>376</v>
      </c>
      <c r="D23" s="27" t="s">
        <v>374</v>
      </c>
    </row>
    <row r="24" customFormat="false" ht="30" hidden="false" customHeight="true" outlineLevel="0" collapsed="false">
      <c r="B24" s="5" t="s">
        <v>378</v>
      </c>
      <c r="C24" s="48" t="s">
        <v>379</v>
      </c>
      <c r="D24" s="27" t="s">
        <v>380</v>
      </c>
    </row>
    <row r="25" customFormat="false" ht="30" hidden="false" customHeight="true" outlineLevel="0" collapsed="false">
      <c r="B25" s="5" t="s">
        <v>381</v>
      </c>
      <c r="C25" s="48" t="s">
        <v>382</v>
      </c>
      <c r="D25" s="27" t="s">
        <v>383</v>
      </c>
    </row>
    <row r="26" customFormat="false" ht="30" hidden="false" customHeight="true" outlineLevel="0" collapsed="false">
      <c r="B26" s="5" t="s">
        <v>384</v>
      </c>
      <c r="C26" s="48" t="s">
        <v>385</v>
      </c>
      <c r="D26" s="27" t="s">
        <v>339</v>
      </c>
    </row>
    <row r="27" customFormat="false" ht="30" hidden="false" customHeight="true" outlineLevel="0" collapsed="false">
      <c r="B27" s="5" t="s">
        <v>386</v>
      </c>
      <c r="C27" s="48" t="s">
        <v>387</v>
      </c>
      <c r="D27" s="27" t="s">
        <v>388</v>
      </c>
    </row>
    <row r="28" customFormat="false" ht="30" hidden="false" customHeight="true" outlineLevel="0" collapsed="false">
      <c r="B28" s="5" t="s">
        <v>389</v>
      </c>
      <c r="C28" s="48" t="s">
        <v>390</v>
      </c>
      <c r="D28" s="27" t="s">
        <v>391</v>
      </c>
    </row>
    <row r="30" customFormat="false" ht="33.75" hidden="false" customHeight="true" outlineLevel="0" collapsed="false">
      <c r="B30" s="49" t="s">
        <v>392</v>
      </c>
      <c r="C30" s="42" t="s">
        <v>393</v>
      </c>
      <c r="D30" s="27" t="s">
        <v>394</v>
      </c>
    </row>
    <row r="31" customFormat="false" ht="33.75" hidden="false" customHeight="true" outlineLevel="0" collapsed="false">
      <c r="B31" s="49" t="s">
        <v>395</v>
      </c>
      <c r="C31" s="42" t="s">
        <v>396</v>
      </c>
      <c r="D31" s="27" t="s">
        <v>397</v>
      </c>
    </row>
    <row r="32" customFormat="false" ht="33.75" hidden="false" customHeight="true" outlineLevel="0" collapsed="false">
      <c r="B32" s="49" t="s">
        <v>398</v>
      </c>
      <c r="C32" s="42" t="s">
        <v>399</v>
      </c>
      <c r="D32" s="27" t="s">
        <v>360</v>
      </c>
    </row>
    <row r="33" customFormat="false" ht="33.75" hidden="false" customHeight="true" outlineLevel="0" collapsed="false">
      <c r="B33" s="49" t="s">
        <v>400</v>
      </c>
      <c r="C33" s="42" t="s">
        <v>401</v>
      </c>
      <c r="D33" s="27" t="s">
        <v>360</v>
      </c>
    </row>
    <row r="34" customFormat="false" ht="33.75" hidden="false" customHeight="true" outlineLevel="0" collapsed="false">
      <c r="B34" s="49" t="s">
        <v>402</v>
      </c>
      <c r="C34" s="42" t="s">
        <v>403</v>
      </c>
      <c r="D34" s="27" t="s">
        <v>339</v>
      </c>
    </row>
    <row r="35" customFormat="false" ht="33.75" hidden="false" customHeight="true" outlineLevel="0" collapsed="false">
      <c r="B35" s="49" t="s">
        <v>404</v>
      </c>
      <c r="C35" s="42" t="s">
        <v>405</v>
      </c>
      <c r="D35" s="27" t="s">
        <v>339</v>
      </c>
    </row>
    <row r="36" customFormat="false" ht="33.75" hidden="false" customHeight="true" outlineLevel="0" collapsed="false">
      <c r="B36" s="8" t="s">
        <v>406</v>
      </c>
    </row>
    <row r="37" customFormat="false" ht="33.75" hidden="false" customHeight="true" outlineLevel="0" collapsed="false">
      <c r="B37" s="5" t="s">
        <v>407</v>
      </c>
    </row>
    <row r="38" customFormat="false" ht="33.75" hidden="false" customHeight="true" outlineLevel="0" collapsed="false"/>
    <row r="39" customFormat="false" ht="30" hidden="false" customHeight="true" outlineLevel="0" collapsed="false"/>
    <row r="40" customFormat="false" ht="30" hidden="false" customHeight="true" outlineLevel="0" collapsed="false"/>
    <row r="41" customFormat="false" ht="15" hidden="false" customHeight="true" outlineLevel="0" collapsed="false"/>
    <row r="42" customFormat="false" ht="323.25" hidden="false" customHeight="true" outlineLevel="0" collapsed="false"/>
    <row r="43" customFormat="false" ht="15" hidden="false" customHeight="true" outlineLevel="0" collapsed="false"/>
    <row r="44" customFormat="false" ht="323.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5" min="3" style="1" width="16"/>
    <col collapsed="false" customWidth="true" hidden="false" outlineLevel="0" max="6" min="6" style="1" width="40"/>
    <col collapsed="false" customWidth="true" hidden="false" outlineLevel="0" max="7" min="7" style="1" width="3"/>
  </cols>
  <sheetData>
    <row r="2" customFormat="false" ht="19.5" hidden="false" customHeight="true" outlineLevel="0" collapsed="false">
      <c r="B2" s="2" t="s">
        <v>408</v>
      </c>
    </row>
    <row r="3" customFormat="false" ht="15" hidden="false" customHeight="true" outlineLevel="0" collapsed="false">
      <c r="B3" s="3" t="s">
        <v>409</v>
      </c>
    </row>
    <row r="6" customFormat="false" ht="15" hidden="false" customHeight="true" outlineLevel="0" collapsed="false">
      <c r="B6" s="11" t="s">
        <v>410</v>
      </c>
      <c r="C6" s="11"/>
      <c r="D6" s="11"/>
      <c r="E6" s="11"/>
      <c r="F6" s="11"/>
    </row>
    <row r="7" customFormat="false" ht="99.75" hidden="false" customHeight="true" outlineLevel="0" collapsed="false">
      <c r="B7" s="5" t="s">
        <v>411</v>
      </c>
    </row>
    <row r="8" customFormat="false" ht="129.75" hidden="false" customHeight="true" outlineLevel="0" collapsed="false">
      <c r="B8" s="50" t="s">
        <v>412</v>
      </c>
      <c r="C8" s="51"/>
      <c r="D8" s="51"/>
      <c r="E8" s="51"/>
      <c r="F8" s="51"/>
    </row>
    <row r="10" customFormat="false" ht="15" hidden="false" customHeight="true" outlineLevel="0" collapsed="false">
      <c r="B10" s="11" t="s">
        <v>413</v>
      </c>
      <c r="C10" s="11"/>
      <c r="D10" s="11"/>
      <c r="E10" s="11"/>
      <c r="F10" s="11"/>
    </row>
    <row r="11" customFormat="false" ht="54.75" hidden="false" customHeight="true" outlineLevel="0" collapsed="false">
      <c r="B11" s="5" t="s">
        <v>414</v>
      </c>
    </row>
    <row r="12" customFormat="false" ht="15" hidden="false" customHeight="true" outlineLevel="0" collapsed="false">
      <c r="B12" s="12" t="s">
        <v>415</v>
      </c>
      <c r="C12" s="12" t="s">
        <v>416</v>
      </c>
      <c r="D12" s="12" t="s">
        <v>417</v>
      </c>
      <c r="E12" s="12" t="s">
        <v>418</v>
      </c>
      <c r="F12" s="12"/>
    </row>
    <row r="13" customFormat="false" ht="15" hidden="false" customHeight="true" outlineLevel="0" collapsed="false">
      <c r="B13" s="23" t="s">
        <v>419</v>
      </c>
      <c r="C13" s="52" t="n">
        <v>901305</v>
      </c>
      <c r="D13" s="52" t="n">
        <v>847761</v>
      </c>
      <c r="E13" s="52" t="n">
        <v>720044</v>
      </c>
    </row>
    <row r="14" customFormat="false" ht="15" hidden="false" customHeight="true" outlineLevel="0" collapsed="false">
      <c r="B14" s="23" t="s">
        <v>420</v>
      </c>
      <c r="C14" s="52" t="n">
        <v>64425</v>
      </c>
      <c r="D14" s="52" t="n">
        <v>863500</v>
      </c>
      <c r="E14" s="52" t="n">
        <v>142812</v>
      </c>
    </row>
    <row r="15" customFormat="false" ht="15" hidden="false" customHeight="true" outlineLevel="0" collapsed="false">
      <c r="B15" s="8" t="s">
        <v>421</v>
      </c>
      <c r="C15" s="53" t="n">
        <v>965730</v>
      </c>
      <c r="D15" s="53" t="n">
        <v>1711261</v>
      </c>
      <c r="E15" s="53" t="n">
        <v>862856</v>
      </c>
    </row>
    <row r="16" customFormat="false" ht="15" hidden="false" customHeight="true" outlineLevel="0" collapsed="false">
      <c r="B16" s="8" t="s">
        <v>422</v>
      </c>
      <c r="C16" s="53" t="n">
        <v>759474</v>
      </c>
      <c r="D16" s="53" t="n">
        <v>760306</v>
      </c>
      <c r="E16" s="53" t="n">
        <v>569099</v>
      </c>
    </row>
    <row r="17" customFormat="false" ht="15" hidden="false" customHeight="true" outlineLevel="0" collapsed="false">
      <c r="B17" s="8" t="s">
        <v>423</v>
      </c>
      <c r="C17" s="53" t="n">
        <v>419000</v>
      </c>
      <c r="D17" s="53" t="n">
        <v>492000</v>
      </c>
      <c r="E17" s="53" t="n">
        <v>235000</v>
      </c>
    </row>
    <row r="18" customFormat="false" ht="15" hidden="false" customHeight="true" outlineLevel="0" collapsed="false">
      <c r="B18" s="8" t="s">
        <v>424</v>
      </c>
      <c r="C18" s="53" t="n">
        <v>337094</v>
      </c>
      <c r="D18" s="53" t="n">
        <v>589471</v>
      </c>
      <c r="E18" s="53" t="n">
        <v>125174</v>
      </c>
    </row>
    <row r="20" customFormat="false" ht="15" hidden="false" customHeight="true" outlineLevel="0" collapsed="false">
      <c r="B20" s="8" t="s">
        <v>425</v>
      </c>
    </row>
    <row r="21" customFormat="false" ht="15" hidden="false" customHeight="true" outlineLevel="0" collapsed="false">
      <c r="B21" s="23" t="s">
        <v>426</v>
      </c>
      <c r="C21" s="52" t="n">
        <v>199098</v>
      </c>
    </row>
    <row r="22" customFormat="false" ht="15" hidden="false" customHeight="true" outlineLevel="0" collapsed="false">
      <c r="B22" s="23" t="s">
        <v>427</v>
      </c>
      <c r="C22" s="52" t="n">
        <v>628018</v>
      </c>
    </row>
    <row r="23" customFormat="false" ht="15" hidden="false" customHeight="true" outlineLevel="0" collapsed="false">
      <c r="B23" s="23" t="s">
        <v>428</v>
      </c>
      <c r="C23" s="52" t="n">
        <v>47689</v>
      </c>
    </row>
    <row r="24" customFormat="false" ht="15" hidden="false" customHeight="true" outlineLevel="0" collapsed="false">
      <c r="B24" s="23" t="s">
        <v>429</v>
      </c>
      <c r="C24" s="52" t="n">
        <v>580329</v>
      </c>
    </row>
    <row r="26" customFormat="false" ht="69.75" hidden="false" customHeight="true" outlineLevel="0" collapsed="false">
      <c r="B26" s="16" t="s">
        <v>430</v>
      </c>
    </row>
    <row r="28" customFormat="false" ht="15" hidden="false" customHeight="true" outlineLevel="0" collapsed="false">
      <c r="B28" s="11" t="s">
        <v>431</v>
      </c>
      <c r="C28" s="11"/>
      <c r="D28" s="11"/>
      <c r="E28" s="11"/>
      <c r="F28" s="11"/>
    </row>
    <row r="29" customFormat="false" ht="39.75" hidden="false" customHeight="true" outlineLevel="0" collapsed="false">
      <c r="B29" s="5" t="s">
        <v>432</v>
      </c>
    </row>
    <row r="30" customFormat="false" ht="41.25" hidden="false" customHeight="true" outlineLevel="0" collapsed="false">
      <c r="B30" s="12" t="s">
        <v>433</v>
      </c>
      <c r="C30" s="12" t="s">
        <v>434</v>
      </c>
      <c r="D30" s="12" t="s">
        <v>435</v>
      </c>
      <c r="E30" s="12" t="s">
        <v>436</v>
      </c>
      <c r="F30" s="12" t="s">
        <v>214</v>
      </c>
    </row>
    <row r="31" customFormat="false" ht="30" hidden="false" customHeight="true" outlineLevel="0" collapsed="false">
      <c r="B31" s="46" t="s">
        <v>437</v>
      </c>
      <c r="C31" s="48" t="s">
        <v>438</v>
      </c>
      <c r="D31" s="54" t="n">
        <v>11.4</v>
      </c>
      <c r="E31" s="54" t="n">
        <v>19</v>
      </c>
      <c r="F31" s="55" t="s">
        <v>37</v>
      </c>
    </row>
    <row r="33" customFormat="false" ht="30" hidden="false" customHeight="true" outlineLevel="0" collapsed="false">
      <c r="B33" s="20" t="s">
        <v>439</v>
      </c>
    </row>
    <row r="35" customFormat="false" ht="15" hidden="false" customHeight="true" outlineLevel="0" collapsed="false">
      <c r="B35" s="11" t="s">
        <v>440</v>
      </c>
      <c r="C35" s="11"/>
      <c r="D35" s="11"/>
      <c r="E35" s="11"/>
      <c r="F35" s="11"/>
    </row>
    <row r="36" customFormat="false" ht="39.75" hidden="false" customHeight="true" outlineLevel="0" collapsed="false">
      <c r="B36" s="5" t="s">
        <v>441</v>
      </c>
    </row>
    <row r="37" customFormat="false" ht="15" hidden="false" customHeight="true" outlineLevel="0" collapsed="false">
      <c r="B37" s="12"/>
      <c r="C37" s="12" t="s">
        <v>189</v>
      </c>
      <c r="D37" s="12" t="s">
        <v>214</v>
      </c>
      <c r="E37" s="12"/>
      <c r="F37" s="12"/>
    </row>
    <row r="38" customFormat="false" ht="15" hidden="false" customHeight="true" outlineLevel="0" collapsed="false">
      <c r="B38" s="23" t="s">
        <v>442</v>
      </c>
      <c r="C38" s="28" t="n">
        <f aca="false">'Revenue Build'!N62</f>
        <v>480.478986957285</v>
      </c>
      <c r="D38" s="15" t="s">
        <v>443</v>
      </c>
    </row>
    <row r="39" customFormat="false" ht="15" hidden="false" customHeight="true" outlineLevel="0" collapsed="false">
      <c r="B39" s="23" t="s">
        <v>444</v>
      </c>
      <c r="C39" s="14" t="n">
        <v>0.2</v>
      </c>
    </row>
    <row r="40" customFormat="false" ht="15" hidden="false" customHeight="true" outlineLevel="0" collapsed="false">
      <c r="B40" s="23" t="s">
        <v>445</v>
      </c>
      <c r="C40" s="28" t="n">
        <f aca="false">C38*C39</f>
        <v>96.0957973914569</v>
      </c>
    </row>
    <row r="42" customFormat="false" ht="15" hidden="false" customHeight="true" outlineLevel="0" collapsed="false">
      <c r="B42" s="8" t="s">
        <v>446</v>
      </c>
    </row>
    <row r="43" customFormat="false" ht="15" hidden="false" customHeight="true" outlineLevel="0" collapsed="false">
      <c r="B43" s="23" t="s">
        <v>447</v>
      </c>
      <c r="C43" s="56" t="n">
        <f aca="false">D31</f>
        <v>11.4</v>
      </c>
    </row>
    <row r="44" customFormat="false" ht="15" hidden="false" customHeight="true" outlineLevel="0" collapsed="false">
      <c r="B44" s="23" t="s">
        <v>448</v>
      </c>
      <c r="C44" s="56" t="n">
        <f aca="false">E31</f>
        <v>19</v>
      </c>
    </row>
    <row r="45" customFormat="false" ht="15" hidden="false" customHeight="true" outlineLevel="0" collapsed="false">
      <c r="B45" s="23" t="s">
        <v>449</v>
      </c>
      <c r="C45" s="57" t="n">
        <f aca="false">C40*C43</f>
        <v>1095.49209026261</v>
      </c>
    </row>
    <row r="46" customFormat="false" ht="15" hidden="false" customHeight="true" outlineLevel="0" collapsed="false">
      <c r="B46" s="23" t="s">
        <v>450</v>
      </c>
      <c r="C46" s="57" t="n">
        <f aca="false">C40*C44</f>
        <v>1825.82015043768</v>
      </c>
    </row>
    <row r="48" customFormat="false" ht="15" hidden="false" customHeight="true" outlineLevel="0" collapsed="false">
      <c r="B48" s="8" t="s">
        <v>451</v>
      </c>
    </row>
    <row r="49" customFormat="false" ht="15" hidden="false" customHeight="true" outlineLevel="0" collapsed="false">
      <c r="B49" s="23" t="s">
        <v>452</v>
      </c>
      <c r="C49" s="36" t="n">
        <v>10</v>
      </c>
    </row>
    <row r="50" customFormat="false" ht="15" hidden="false" customHeight="true" outlineLevel="0" collapsed="false">
      <c r="B50" s="23" t="s">
        <v>453</v>
      </c>
      <c r="C50" s="14" t="n">
        <v>0.2</v>
      </c>
    </row>
    <row r="51" customFormat="false" ht="15" hidden="false" customHeight="true" outlineLevel="0" collapsed="false">
      <c r="B51" s="23" t="s">
        <v>454</v>
      </c>
      <c r="C51" s="57" t="n">
        <f aca="false">C45/((1+C50)^C49)</f>
        <v>176.928088589078</v>
      </c>
    </row>
    <row r="52" customFormat="false" ht="15" hidden="false" customHeight="true" outlineLevel="0" collapsed="false">
      <c r="B52" s="23" t="s">
        <v>455</v>
      </c>
      <c r="C52" s="57" t="n">
        <f aca="false">C46/((1+C50)^C49)</f>
        <v>294.880147648464</v>
      </c>
    </row>
    <row r="53" customFormat="false" ht="15" hidden="false" customHeight="true" outlineLevel="0" collapsed="false">
      <c r="B53" s="8" t="s">
        <v>456</v>
      </c>
      <c r="C53" s="29" t="n">
        <f aca="false">AVERAGE(C51:C52)</f>
        <v>235.904118118771</v>
      </c>
    </row>
    <row r="55" customFormat="false" ht="15" hidden="false" customHeight="true" outlineLevel="0" collapsed="false">
      <c r="B55" s="11" t="s">
        <v>457</v>
      </c>
      <c r="C55" s="11"/>
      <c r="D55" s="11"/>
      <c r="E55" s="11"/>
      <c r="F55" s="11"/>
    </row>
    <row r="56" customFormat="false" ht="45" hidden="false" customHeight="true" outlineLevel="0" collapsed="false">
      <c r="B56" s="5" t="s">
        <v>458</v>
      </c>
    </row>
    <row r="57" customFormat="false" ht="15" hidden="false" customHeight="true" outlineLevel="0" collapsed="false">
      <c r="B57" s="12"/>
      <c r="C57" s="12" t="s">
        <v>189</v>
      </c>
      <c r="D57" s="12"/>
      <c r="E57" s="12"/>
      <c r="F57" s="12"/>
    </row>
    <row r="58" customFormat="false" ht="15" hidden="false" customHeight="true" outlineLevel="0" collapsed="false">
      <c r="B58" s="23" t="s">
        <v>459</v>
      </c>
      <c r="C58" s="28" t="n">
        <f aca="false">C53</f>
        <v>235.904118118771</v>
      </c>
    </row>
    <row r="59" customFormat="false" ht="15" hidden="false" customHeight="true" outlineLevel="0" collapsed="false">
      <c r="B59" s="23" t="s">
        <v>460</v>
      </c>
      <c r="C59" s="34" t="n">
        <v>150</v>
      </c>
    </row>
    <row r="60" customFormat="false" ht="15" hidden="false" customHeight="true" outlineLevel="0" collapsed="false">
      <c r="B60" s="8" t="s">
        <v>461</v>
      </c>
      <c r="C60" s="58" t="n">
        <f aca="false">1-C59/C53</f>
        <v>0.364148446427377</v>
      </c>
    </row>
    <row r="62" customFormat="false" ht="15" hidden="false" customHeight="true" outlineLevel="0" collapsed="false">
      <c r="B62" s="59" t="s">
        <v>462</v>
      </c>
      <c r="C62" s="59"/>
      <c r="D62" s="59"/>
      <c r="E62" s="59"/>
      <c r="F62" s="59"/>
    </row>
    <row r="63" customFormat="false" ht="15" hidden="false" customHeight="true" outlineLevel="0" collapsed="false">
      <c r="B63" s="23" t="s">
        <v>463</v>
      </c>
      <c r="C63" s="28" t="n">
        <f aca="false">C59</f>
        <v>150</v>
      </c>
    </row>
    <row r="64" customFormat="false" ht="15" hidden="false" customHeight="true" outlineLevel="0" collapsed="false">
      <c r="B64" s="23" t="s">
        <v>464</v>
      </c>
      <c r="C64" s="34" t="n">
        <v>0</v>
      </c>
    </row>
    <row r="65" customFormat="false" ht="15" hidden="false" customHeight="true" outlineLevel="0" collapsed="false">
      <c r="B65" s="8" t="s">
        <v>465</v>
      </c>
      <c r="C65" s="57" t="n">
        <f aca="false">C63-C64</f>
        <v>150</v>
      </c>
    </row>
    <row r="66" customFormat="false" ht="15" hidden="false" customHeight="true" outlineLevel="0" collapsed="false">
      <c r="B66" s="23" t="s">
        <v>466</v>
      </c>
      <c r="C66" s="14" t="n">
        <v>0.5</v>
      </c>
    </row>
    <row r="67" customFormat="false" ht="15" hidden="false" customHeight="true" outlineLevel="0" collapsed="false">
      <c r="B67" s="23" t="s">
        <v>467</v>
      </c>
      <c r="C67" s="28" t="n">
        <f aca="false">C59*C66</f>
        <v>75</v>
      </c>
    </row>
    <row r="68" customFormat="false" ht="15" hidden="false" customHeight="true" outlineLevel="0" collapsed="false">
      <c r="B68" s="8" t="s">
        <v>468</v>
      </c>
      <c r="C68" s="29" t="n">
        <f aca="false">C65+C67</f>
        <v>225</v>
      </c>
    </row>
    <row r="70" customFormat="false" ht="15" hidden="false" customHeight="true" outlineLevel="0" collapsed="false">
      <c r="B70" s="11" t="s">
        <v>469</v>
      </c>
      <c r="C70" s="11"/>
      <c r="D70" s="11"/>
      <c r="E70" s="11"/>
      <c r="F70" s="11"/>
    </row>
    <row r="71" customFormat="false" ht="54.75" hidden="false" customHeight="true" outlineLevel="0" collapsed="false">
      <c r="B71" s="5" t="s">
        <v>470</v>
      </c>
    </row>
    <row r="72" customFormat="false" ht="41.25" hidden="false" customHeight="true" outlineLevel="0" collapsed="false">
      <c r="B72" s="12" t="s">
        <v>471</v>
      </c>
      <c r="C72" s="12" t="s">
        <v>472</v>
      </c>
      <c r="D72" s="12" t="s">
        <v>473</v>
      </c>
      <c r="E72" s="12"/>
      <c r="F72" s="12"/>
    </row>
    <row r="73" customFormat="false" ht="21.75" hidden="false" customHeight="true" outlineLevel="0" collapsed="false">
      <c r="B73" s="5" t="s">
        <v>474</v>
      </c>
      <c r="C73" s="28" t="n">
        <f aca="false">AVERAGE(C45/((1+C50)^3),C46/((1+C50)^3))</f>
        <v>845.287106684112</v>
      </c>
      <c r="D73" s="19" t="n">
        <f aca="false">1-$C$59/C73</f>
        <v>0.822545501032875</v>
      </c>
    </row>
    <row r="74" customFormat="false" ht="21.75" hidden="false" customHeight="true" outlineLevel="0" collapsed="false">
      <c r="B74" s="5" t="s">
        <v>475</v>
      </c>
      <c r="C74" s="28" t="n">
        <f aca="false">AVERAGE(C45/((1+C50)^5),C46/((1+C50)^5))</f>
        <v>587.0049351973</v>
      </c>
      <c r="D74" s="19" t="n">
        <f aca="false">1-$C$59/C74</f>
        <v>0.74446552148734</v>
      </c>
    </row>
    <row r="75" customFormat="false" ht="21.75" hidden="false" customHeight="true" outlineLevel="0" collapsed="false">
      <c r="B75" s="5" t="s">
        <v>476</v>
      </c>
      <c r="C75" s="28" t="n">
        <f aca="false">AVERAGE(C45/((1+C50)^10),C46/((1+C50)^10))</f>
        <v>235.904118118771</v>
      </c>
      <c r="D75" s="19" t="n">
        <f aca="false">1-$C$59/C75</f>
        <v>0.364148446427377</v>
      </c>
    </row>
    <row r="77" customFormat="false" ht="54.75" hidden="false" customHeight="true" outlineLevel="0" collapsed="false">
      <c r="B77" s="47" t="s">
        <v>477</v>
      </c>
    </row>
    <row r="79" customFormat="false" ht="15" hidden="false" customHeight="true" outlineLevel="0" collapsed="false">
      <c r="B79" s="11" t="s">
        <v>478</v>
      </c>
      <c r="C79" s="11"/>
      <c r="D79" s="11"/>
      <c r="E79" s="11"/>
      <c r="F79" s="11"/>
    </row>
    <row r="80" customFormat="false" ht="15" hidden="false" customHeight="true" outlineLevel="0" collapsed="false">
      <c r="B80" s="12" t="s">
        <v>479</v>
      </c>
      <c r="C80" s="12" t="s">
        <v>480</v>
      </c>
      <c r="D80" s="12" t="s">
        <v>481</v>
      </c>
      <c r="E80" s="12" t="s">
        <v>482</v>
      </c>
      <c r="F80" s="12" t="s">
        <v>483</v>
      </c>
    </row>
    <row r="81" customFormat="false" ht="54.75" hidden="false" customHeight="true" outlineLevel="0" collapsed="false">
      <c r="B81" s="46" t="s">
        <v>484</v>
      </c>
      <c r="C81" s="23" t="s">
        <v>485</v>
      </c>
      <c r="D81" s="23" t="s">
        <v>486</v>
      </c>
      <c r="E81" s="23" t="s">
        <v>487</v>
      </c>
    </row>
    <row r="82" customFormat="false" ht="60" hidden="false" customHeight="true" outlineLevel="0" collapsed="false">
      <c r="B82" s="33" t="s">
        <v>488</v>
      </c>
      <c r="C82" s="33"/>
      <c r="D82" s="33"/>
      <c r="E82" s="33"/>
      <c r="F82" s="33"/>
    </row>
    <row r="83" customFormat="false" ht="54.75" hidden="false" customHeight="true" outlineLevel="0" collapsed="false">
      <c r="B83" s="46" t="s">
        <v>489</v>
      </c>
      <c r="C83" s="23" t="s">
        <v>490</v>
      </c>
      <c r="D83" s="23" t="s">
        <v>491</v>
      </c>
      <c r="E83" s="23" t="s">
        <v>492</v>
      </c>
    </row>
    <row r="84" customFormat="false" ht="60" hidden="false" customHeight="true" outlineLevel="0" collapsed="false">
      <c r="B84" s="33" t="s">
        <v>493</v>
      </c>
      <c r="C84" s="33"/>
      <c r="D84" s="33"/>
      <c r="E84" s="33"/>
      <c r="F84" s="33"/>
    </row>
    <row r="87" customFormat="false" ht="15" hidden="false" customHeight="true" outlineLevel="0" collapsed="false">
      <c r="B87" s="11" t="s">
        <v>494</v>
      </c>
      <c r="C87" s="11"/>
      <c r="D87" s="11"/>
      <c r="E87" s="11"/>
      <c r="F87" s="11"/>
    </row>
    <row r="88" customFormat="false" ht="15" hidden="false" customHeight="true" outlineLevel="0" collapsed="false">
      <c r="B88" s="8" t="s">
        <v>495</v>
      </c>
    </row>
    <row r="89" customFormat="false" ht="60" hidden="false" customHeight="true" outlineLevel="0" collapsed="false">
      <c r="B89" s="5" t="s">
        <v>496</v>
      </c>
    </row>
    <row r="90" customFormat="false" ht="15" hidden="false" customHeight="true" outlineLevel="0" collapsed="false">
      <c r="B90" s="8" t="s">
        <v>497</v>
      </c>
    </row>
    <row r="91" customFormat="false" ht="75" hidden="false" customHeight="true" outlineLevel="0" collapsed="false">
      <c r="B91" s="5" t="s">
        <v>498</v>
      </c>
    </row>
    <row r="92" customFormat="false" ht="15" hidden="false" customHeight="true" outlineLevel="0" collapsed="false">
      <c r="B92" s="8" t="s">
        <v>499</v>
      </c>
    </row>
    <row r="93" customFormat="false" ht="64.5" hidden="false" customHeight="true" outlineLevel="0" collapsed="false">
      <c r="B93" s="5" t="s">
        <v>500</v>
      </c>
    </row>
    <row r="95" customFormat="false" ht="15" hidden="false" customHeight="true" outlineLevel="0" collapsed="false">
      <c r="B95" s="4" t="s">
        <v>501</v>
      </c>
    </row>
    <row r="96" customFormat="false" ht="54.75" hidden="false" customHeight="true" outlineLevel="0" collapsed="false">
      <c r="B96" s="60" t="str">
        <f aca="false">"Illustrative 2027 deal: $"&amp;TEXT(C59,"#,##0")&amp;"M EV, $"&amp;TEXT(C68,"#,##0")&amp;"M pro forma equity. Year-10 discounted fair value (10-year matched basis): $"&amp;TEXT(C53,"#,##0")&amp;"M midpoint, implying a "&amp;TEXT(1-C59/C53,"0%")&amp;" discount — see Section 5 for how sensitive this figure is to the discount-period assumption."</f>
        <v>Illustrative 2027 deal: $150M EV, $225M pro forma equity. Year-10 discounted fair value (10-year matched basis): $236M midpoint, implying a 36% discount — see Section 5 for how sensitive this figure is to the discount-period assumption.</v>
      </c>
      <c r="C96" s="60"/>
      <c r="D96" s="60"/>
      <c r="E96" s="60"/>
      <c r="F96" s="60"/>
    </row>
  </sheetData>
  <mergeCells count="12">
    <mergeCell ref="B6:F6"/>
    <mergeCell ref="B10:F10"/>
    <mergeCell ref="B28:F28"/>
    <mergeCell ref="B35:F35"/>
    <mergeCell ref="B55:F55"/>
    <mergeCell ref="B62:F62"/>
    <mergeCell ref="B70:F70"/>
    <mergeCell ref="B79:F79"/>
    <mergeCell ref="B82:F82"/>
    <mergeCell ref="B84:F84"/>
    <mergeCell ref="B87:F87"/>
    <mergeCell ref="B96:F9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2026-08-24T23:46:19Z</dcterms:created>
  <dc:creator>openpyxl</dc:creator>
  <dc:description/>
  <dc:language>en-US</dc:language>
  <cp:lastModifiedBy/>
  <dcterms:modified xsi:type="dcterms:W3CDTF">2026-08-25T01:38:05Z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