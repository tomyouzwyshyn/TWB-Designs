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Baseline" sheetId="3" state="visible" r:id="rId3"/>
    <sheet xmlns:r="http://schemas.openxmlformats.org/officeDocument/2006/relationships" name="Market" sheetId="4" state="visible" r:id="rId4"/>
    <sheet xmlns:r="http://schemas.openxmlformats.org/officeDocument/2006/relationships" name="Organic Build" sheetId="5" state="visible" r:id="rId5"/>
    <sheet xmlns:r="http://schemas.openxmlformats.org/officeDocument/2006/relationships" name="Acquisitions" sheetId="6" state="visible" r:id="rId6"/>
    <sheet xmlns:r="http://schemas.openxmlformats.org/officeDocument/2006/relationships" name="P&amp;L &amp; Capital" sheetId="7" state="visible" r:id="rId7"/>
    <sheet xmlns:r="http://schemas.openxmlformats.org/officeDocument/2006/relationships" name="Headcount" sheetId="8" state="visible" r:id="rId8"/>
    <sheet xmlns:r="http://schemas.openxmlformats.org/officeDocument/2006/relationships" name="Returns &amp; Valuation" sheetId="9" state="visible" r:id="rId9"/>
    <sheet xmlns:r="http://schemas.openxmlformats.org/officeDocument/2006/relationships" name="Scenarios" sheetId="10" state="visible" r:id="rId10"/>
    <sheet xmlns:r="http://schemas.openxmlformats.org/officeDocument/2006/relationships" name="Outputs" sheetId="11" state="visible" r:id="rId11"/>
    <sheet xmlns:r="http://schemas.openxmlformats.org/officeDocument/2006/relationships" name="Sources" sheetId="12" state="visible" r:id="rId12"/>
    <sheet xmlns:r="http://schemas.openxmlformats.org/officeDocument/2006/relationships" name="Fact-Check Log"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quot;($&quot;#,##0.0\);\-"/>
    <numFmt numFmtId="165" formatCode="#,##0;\(#,##0\);\-"/>
    <numFmt numFmtId="166" formatCode="0.0000"/>
    <numFmt numFmtId="167" formatCode="0.0%;\(0.0%\);\-"/>
    <numFmt numFmtId="168" formatCode="0.0\x"/>
    <numFmt numFmtId="169" formatCode="#,##0.0;\(#,##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000000"/>
      <sz val="14"/>
    </font>
    <font>
      <name val="Arial"/>
      <charset val="1"/>
      <family val="0"/>
      <i val="1"/>
      <color rgb="FF6E6C66"/>
      <sz val="10"/>
    </font>
    <font>
      <name val="Arial"/>
      <charset val="1"/>
      <family val="0"/>
      <b val="1"/>
      <color rgb="FF66705F"/>
      <sz val="11"/>
    </font>
    <font>
      <name val="Arial"/>
      <charset val="1"/>
      <family val="0"/>
      <color rgb="FF000000"/>
      <sz val="10"/>
    </font>
    <font>
      <name val="Arial"/>
      <charset val="1"/>
      <family val="0"/>
      <b val="1"/>
      <color rgb="FF008000"/>
      <sz val="10"/>
    </font>
    <font>
      <name val="Arial"/>
      <charset val="1"/>
      <family val="0"/>
      <b val="1"/>
      <color rgb="FF000000"/>
      <sz val="10"/>
    </font>
    <font>
      <name val="Arial"/>
      <charset val="1"/>
      <family val="0"/>
      <b val="1"/>
      <color rgb="FF0000FF"/>
      <sz val="10"/>
    </font>
    <font>
      <name val="Arial"/>
      <charset val="1"/>
      <family val="0"/>
      <b val="1"/>
      <color rgb="FFFFFFFF"/>
      <sz val="10"/>
    </font>
    <font>
      <name val="Arial"/>
      <charset val="1"/>
      <family val="0"/>
      <color rgb="FF0000FF"/>
      <sz val="10"/>
    </font>
    <font>
      <name val="Arial"/>
      <charset val="1"/>
      <family val="0"/>
      <color rgb="FF6E6C66"/>
      <sz val="10"/>
    </font>
    <font>
      <name val="Arial"/>
      <family val="2"/>
      <sz val="10"/>
    </font>
    <font>
      <name val="Arial"/>
      <charset val="1"/>
      <family val="0"/>
      <color rgb="FF008000"/>
      <sz val="10"/>
    </font>
    <font>
      <name val="Arial"/>
      <charset val="1"/>
      <family val="0"/>
      <i val="1"/>
      <color rgb="FF6E6C66"/>
      <sz val="9"/>
    </font>
    <font>
      <name val="Arial"/>
      <charset val="1"/>
      <family val="0"/>
      <sz val="10"/>
    </font>
  </fonts>
  <fills count="9">
    <fill>
      <patternFill/>
    </fill>
    <fill>
      <patternFill patternType="gray125"/>
    </fill>
    <fill>
      <patternFill patternType="solid">
        <fgColor rgb="FFFFFF00"/>
        <bgColor rgb="FFFFFF00"/>
      </patternFill>
    </fill>
    <fill>
      <patternFill patternType="solid">
        <fgColor rgb="FF66705F"/>
        <bgColor rgb="FF6E6C66"/>
      </patternFill>
    </fill>
    <fill>
      <patternFill patternType="solid">
        <fgColor rgb="FFE8F0E6"/>
        <bgColor rgb="FFEEF1F5"/>
      </patternFill>
    </fill>
    <fill>
      <patternFill patternType="solid">
        <fgColor rgb="FFF2E6E6"/>
        <bgColor rgb="FFF4F1E8"/>
      </patternFill>
    </fill>
    <fill>
      <patternFill patternType="solid">
        <fgColor rgb="FFF4F1E8"/>
        <bgColor rgb="FFEEF1F5"/>
      </patternFill>
    </fill>
    <fill>
      <patternFill patternType="solid">
        <fgColor rgb="FFFFF6CC"/>
        <bgColor rgb="FFF4F1E8"/>
      </patternFill>
    </fill>
    <fill>
      <patternFill patternType="solid">
        <fgColor rgb="FFEEF1F5"/>
        <bgColor rgb="FFF4F1E8"/>
      </patternFill>
    </fill>
  </fills>
  <borders count="3">
    <border>
      <left/>
      <right/>
      <top/>
      <bottom/>
      <diagonal/>
    </border>
    <border>
      <left/>
      <right/>
      <top/>
      <bottom style="thin">
        <color rgb="FFCFCDC4"/>
      </bottom>
      <diagonal/>
    </border>
    <border>
      <left/>
      <right/>
      <top style="thin">
        <color rgb="FF66705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164" fontId="8" fillId="0" borderId="0" applyAlignment="1" pivotButton="0" quotePrefix="0" xfId="0">
      <alignment horizontal="general" vertical="bottom"/>
    </xf>
    <xf numFmtId="165" fontId="8"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11" fillId="3" borderId="0"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general" vertical="bottom"/>
    </xf>
    <xf numFmtId="166" fontId="10" fillId="2" borderId="0" applyAlignment="1" pivotButton="0" quotePrefix="0" xfId="0">
      <alignment horizontal="general" vertical="bottom"/>
    </xf>
    <xf numFmtId="0" fontId="5" fillId="0" borderId="0" applyAlignment="1" pivotButton="0" quotePrefix="0" xfId="0">
      <alignment horizontal="general" vertical="top" wrapText="1"/>
    </xf>
    <xf numFmtId="164" fontId="9" fillId="0" borderId="0" applyAlignment="1" pivotButton="0" quotePrefix="0" xfId="0">
      <alignment horizontal="general" vertical="bottom"/>
    </xf>
    <xf numFmtId="164" fontId="12" fillId="2" borderId="0" applyAlignment="1" pivotButton="0" quotePrefix="0" xfId="0">
      <alignment horizontal="general" vertical="bottom"/>
    </xf>
    <xf numFmtId="167" fontId="9" fillId="0" borderId="0" applyAlignment="1" pivotButton="0" quotePrefix="0" xfId="0">
      <alignment horizontal="general" vertical="bottom"/>
    </xf>
    <xf numFmtId="167" fontId="12" fillId="2" borderId="0" applyAlignment="1" pivotButton="0" quotePrefix="0" xfId="0">
      <alignment horizontal="general" vertical="bottom"/>
    </xf>
    <xf numFmtId="2" fontId="9" fillId="0" borderId="0" applyAlignment="1" pivotButton="0" quotePrefix="0" xfId="0">
      <alignment horizontal="general" vertical="bottom"/>
    </xf>
    <xf numFmtId="2" fontId="12" fillId="2" borderId="0" applyAlignment="1" pivotButton="0" quotePrefix="0" xfId="0">
      <alignment horizontal="general" vertical="bottom"/>
    </xf>
    <xf numFmtId="1" fontId="9" fillId="0" borderId="0" applyAlignment="1" pivotButton="0" quotePrefix="0" xfId="0">
      <alignment horizontal="general" vertical="bottom"/>
    </xf>
    <xf numFmtId="1" fontId="12" fillId="2" borderId="0" applyAlignment="1" pivotButton="0" quotePrefix="0" xfId="0">
      <alignment horizontal="general" vertical="bottom"/>
    </xf>
    <xf numFmtId="1" fontId="10" fillId="2" borderId="0" applyAlignment="1" pivotButton="0" quotePrefix="0" xfId="0">
      <alignment horizontal="general" vertical="bottom"/>
    </xf>
    <xf numFmtId="168" fontId="10" fillId="2" borderId="0" applyAlignment="1" pivotButton="0" quotePrefix="0" xfId="0">
      <alignment horizontal="general" vertical="bottom"/>
    </xf>
    <xf numFmtId="168" fontId="9" fillId="0" borderId="0" applyAlignment="1" pivotButton="0" quotePrefix="0" xfId="0">
      <alignment horizontal="general" vertical="bottom"/>
    </xf>
    <xf numFmtId="168" fontId="12" fillId="2" borderId="0" applyAlignment="1" pivotButton="0" quotePrefix="0" xfId="0">
      <alignment horizontal="general" vertical="bottom"/>
    </xf>
    <xf numFmtId="167" fontId="8" fillId="2" borderId="0" applyAlignment="1" pivotButton="0" quotePrefix="0" xfId="0">
      <alignment horizontal="general" vertical="bottom"/>
    </xf>
    <xf numFmtId="169" fontId="10" fillId="2" borderId="0" applyAlignment="1" pivotButton="0" quotePrefix="0" xfId="0">
      <alignment horizontal="general" vertical="bottom"/>
    </xf>
    <xf numFmtId="1" fontId="11" fillId="3" borderId="0" applyAlignment="1" pivotButton="0" quotePrefix="0" xfId="0">
      <alignment horizontal="right" vertical="bottom"/>
    </xf>
    <xf numFmtId="0" fontId="13" fillId="0" borderId="0" applyAlignment="1" pivotButton="0" quotePrefix="0" xfId="0">
      <alignment horizontal="general" vertical="bottom"/>
    </xf>
    <xf numFmtId="0" fontId="13" fillId="0" borderId="0" applyAlignment="1" pivotButton="0" quotePrefix="0" xfId="0">
      <alignment horizontal="right" vertical="bottom"/>
    </xf>
    <xf numFmtId="165" fontId="12" fillId="2" borderId="0" applyAlignment="1" pivotButton="0" quotePrefix="0" xfId="0">
      <alignment horizontal="general" vertical="bottom"/>
    </xf>
    <xf numFmtId="165" fontId="9" fillId="0" borderId="0" applyAlignment="1" pivotButton="0" quotePrefix="0" xfId="0">
      <alignment horizontal="general" vertical="bottom"/>
    </xf>
    <xf numFmtId="169" fontId="12" fillId="2" borderId="0" applyAlignment="1" pivotButton="0" quotePrefix="0" xfId="0">
      <alignment horizontal="general" vertical="bottom"/>
    </xf>
    <xf numFmtId="169" fontId="9" fillId="0" borderId="0" applyAlignment="1" pivotButton="0" quotePrefix="0" xfId="0">
      <alignment horizontal="general" vertical="bottom"/>
    </xf>
    <xf numFmtId="167" fontId="7" fillId="0" borderId="0" applyAlignment="1" pivotButton="0" quotePrefix="0" xfId="0">
      <alignment horizontal="general" vertical="bottom"/>
    </xf>
    <xf numFmtId="166" fontId="12" fillId="2" borderId="0" applyAlignment="1" pivotButton="0" quotePrefix="0" xfId="0">
      <alignment horizontal="general" vertical="bottom"/>
    </xf>
    <xf numFmtId="0" fontId="15" fillId="0" borderId="0" applyAlignment="1" pivotButton="0" quotePrefix="0" xfId="0">
      <alignment horizontal="general" vertical="bottom"/>
    </xf>
    <xf numFmtId="169" fontId="7" fillId="0" borderId="0" applyAlignment="1" pivotButton="0" quotePrefix="0" xfId="0">
      <alignment horizontal="general" vertical="bottom"/>
    </xf>
    <xf numFmtId="165" fontId="7" fillId="0" borderId="0" applyAlignment="1" pivotButton="0" quotePrefix="0" xfId="0">
      <alignment horizontal="general" vertical="bottom"/>
    </xf>
    <xf numFmtId="165" fontId="10" fillId="2" borderId="0" applyAlignment="1" pivotButton="0" quotePrefix="0" xfId="0">
      <alignment horizontal="general" vertical="bottom"/>
    </xf>
    <xf numFmtId="169" fontId="8" fillId="0" borderId="0" applyAlignment="1" pivotButton="0" quotePrefix="0" xfId="0">
      <alignment horizontal="general" vertical="bottom"/>
    </xf>
    <xf numFmtId="165" fontId="15" fillId="0" borderId="0" applyAlignment="1" pivotButton="0" quotePrefix="0" xfId="0">
      <alignment horizontal="general" vertical="bottom"/>
    </xf>
    <xf numFmtId="164" fontId="7" fillId="0" borderId="0" applyAlignment="1" pivotButton="0" quotePrefix="0" xfId="0">
      <alignment horizontal="general" vertical="bottom"/>
    </xf>
    <xf numFmtId="169" fontId="9" fillId="0" borderId="2" applyAlignment="1" pivotButton="0" quotePrefix="0" xfId="0">
      <alignment horizontal="general" vertical="bottom"/>
    </xf>
    <xf numFmtId="0" fontId="11" fillId="3" borderId="0" applyAlignment="1" pivotButton="0" quotePrefix="0" xfId="0">
      <alignment horizontal="general" vertical="bottom" wrapText="1"/>
    </xf>
    <xf numFmtId="1" fontId="7" fillId="0" borderId="0" applyAlignment="1" pivotButton="0" quotePrefix="0" xfId="0">
      <alignment horizontal="general" vertical="bottom"/>
    </xf>
    <xf numFmtId="169" fontId="13" fillId="0" borderId="0" applyAlignment="1" pivotButton="0" quotePrefix="0" xfId="0">
      <alignment horizontal="general" vertical="bottom"/>
    </xf>
    <xf numFmtId="168" fontId="7" fillId="0" borderId="0" applyAlignment="1" pivotButton="0" quotePrefix="0" xfId="0">
      <alignment horizontal="general" vertical="bottom"/>
    </xf>
    <xf numFmtId="169" fontId="15" fillId="0" borderId="0" applyAlignment="1" pivotButton="0" quotePrefix="0" xfId="0">
      <alignment horizontal="general" vertical="bottom"/>
    </xf>
    <xf numFmtId="165" fontId="9" fillId="0" borderId="2" applyAlignment="1" pivotButton="0" quotePrefix="0" xfId="0">
      <alignment horizontal="general" vertical="bottom"/>
    </xf>
    <xf numFmtId="167" fontId="15" fillId="0" borderId="0" applyAlignment="1" pivotButton="0" quotePrefix="0" xfId="0">
      <alignment horizontal="general" vertical="bottom"/>
    </xf>
    <xf numFmtId="168" fontId="15" fillId="0" borderId="0" applyAlignment="1" pivotButton="0" quotePrefix="0" xfId="0">
      <alignment horizontal="general" vertical="bottom"/>
    </xf>
    <xf numFmtId="168" fontId="13" fillId="0" borderId="0" applyAlignment="1" pivotButton="0" quotePrefix="0" xfId="0">
      <alignment horizontal="general" vertical="bottom"/>
    </xf>
    <xf numFmtId="0" fontId="16" fillId="0" borderId="0" applyAlignment="1" pivotButton="0" quotePrefix="0" xfId="0">
      <alignment horizontal="general" vertical="bottom"/>
    </xf>
    <xf numFmtId="169" fontId="17" fillId="0" borderId="0" applyAlignment="1" pivotButton="0" quotePrefix="0" xfId="0">
      <alignment horizontal="general" vertical="bottom"/>
    </xf>
    <xf numFmtId="167" fontId="8" fillId="0" borderId="0" applyAlignment="1" pivotButton="0" quotePrefix="0" xfId="0">
      <alignment horizontal="general" vertical="bottom"/>
    </xf>
    <xf numFmtId="167" fontId="17" fillId="0" borderId="0" applyAlignment="1" pivotButton="0" quotePrefix="0" xfId="0">
      <alignment horizontal="general" vertical="bottom"/>
    </xf>
    <xf numFmtId="165" fontId="17" fillId="0" borderId="0" applyAlignment="1" pivotButton="0" quotePrefix="0" xfId="0">
      <alignment horizontal="general" vertical="bottom"/>
    </xf>
    <xf numFmtId="168" fontId="8" fillId="0" borderId="0" applyAlignment="1" pivotButton="0" quotePrefix="0" xfId="0">
      <alignment horizontal="general" vertical="bottom"/>
    </xf>
    <xf numFmtId="168" fontId="17" fillId="0" borderId="0" applyAlignment="1" pivotButton="0" quotePrefix="0" xfId="0">
      <alignment horizontal="general" vertical="bottom"/>
    </xf>
    <xf numFmtId="164" fontId="15" fillId="0" borderId="0" applyAlignment="1" pivotButton="0" quotePrefix="0" xfId="0">
      <alignment horizontal="general" vertical="bottom"/>
    </xf>
    <xf numFmtId="2" fontId="15" fillId="0" borderId="0" applyAlignment="1" pivotButton="0" quotePrefix="0" xfId="0">
      <alignment horizontal="general" vertical="bottom"/>
    </xf>
    <xf numFmtId="1" fontId="15" fillId="0" borderId="0" applyAlignment="1" pivotButton="0" quotePrefix="0" xfId="0">
      <alignment horizontal="general" vertical="bottom"/>
    </xf>
    <xf numFmtId="0" fontId="15" fillId="0"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0" fontId="7"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164" fontId="8" fillId="0" borderId="0" applyAlignment="1" pivotButton="0" quotePrefix="0" xfId="0">
      <alignment horizontal="general" vertical="bottom"/>
    </xf>
    <xf numFmtId="165" fontId="8"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11" fillId="3" borderId="0"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general" vertical="bottom"/>
    </xf>
    <xf numFmtId="166" fontId="10" fillId="2" borderId="0" applyAlignment="1" pivotButton="0" quotePrefix="0" xfId="0">
      <alignment horizontal="general" vertical="bottom"/>
    </xf>
    <xf numFmtId="0" fontId="5" fillId="0" borderId="0" applyAlignment="1" pivotButton="0" quotePrefix="0" xfId="0">
      <alignment horizontal="general" vertical="top" wrapText="1"/>
    </xf>
    <xf numFmtId="164" fontId="9" fillId="0" borderId="0" applyAlignment="1" pivotButton="0" quotePrefix="0" xfId="0">
      <alignment horizontal="general" vertical="bottom"/>
    </xf>
    <xf numFmtId="164" fontId="12" fillId="2" borderId="0" applyAlignment="1" pivotButton="0" quotePrefix="0" xfId="0">
      <alignment horizontal="general" vertical="bottom"/>
    </xf>
    <xf numFmtId="167" fontId="9" fillId="0" borderId="0" applyAlignment="1" pivotButton="0" quotePrefix="0" xfId="0">
      <alignment horizontal="general" vertical="bottom"/>
    </xf>
    <xf numFmtId="167" fontId="12" fillId="2" borderId="0" applyAlignment="1" pivotButton="0" quotePrefix="0" xfId="0">
      <alignment horizontal="general" vertical="bottom"/>
    </xf>
    <xf numFmtId="2" fontId="9" fillId="0" borderId="0" applyAlignment="1" pivotButton="0" quotePrefix="0" xfId="0">
      <alignment horizontal="general" vertical="bottom"/>
    </xf>
    <xf numFmtId="2" fontId="12" fillId="2" borderId="0" applyAlignment="1" pivotButton="0" quotePrefix="0" xfId="0">
      <alignment horizontal="general" vertical="bottom"/>
    </xf>
    <xf numFmtId="1" fontId="9" fillId="0" borderId="0" applyAlignment="1" pivotButton="0" quotePrefix="0" xfId="0">
      <alignment horizontal="general" vertical="bottom"/>
    </xf>
    <xf numFmtId="1" fontId="12" fillId="2" borderId="0" applyAlignment="1" pivotButton="0" quotePrefix="0" xfId="0">
      <alignment horizontal="general" vertical="bottom"/>
    </xf>
    <xf numFmtId="1" fontId="10" fillId="2" borderId="0" applyAlignment="1" pivotButton="0" quotePrefix="0" xfId="0">
      <alignment horizontal="general" vertical="bottom"/>
    </xf>
    <xf numFmtId="168" fontId="10" fillId="2" borderId="0" applyAlignment="1" pivotButton="0" quotePrefix="0" xfId="0">
      <alignment horizontal="general" vertical="bottom"/>
    </xf>
    <xf numFmtId="168" fontId="9" fillId="0" borderId="0" applyAlignment="1" pivotButton="0" quotePrefix="0" xfId="0">
      <alignment horizontal="general" vertical="bottom"/>
    </xf>
    <xf numFmtId="168" fontId="12" fillId="2" borderId="0" applyAlignment="1" pivotButton="0" quotePrefix="0" xfId="0">
      <alignment horizontal="general" vertical="bottom"/>
    </xf>
    <xf numFmtId="167" fontId="8" fillId="2" borderId="0" applyAlignment="1" pivotButton="0" quotePrefix="0" xfId="0">
      <alignment horizontal="general" vertical="bottom"/>
    </xf>
    <xf numFmtId="169" fontId="10" fillId="2" borderId="0" applyAlignment="1" pivotButton="0" quotePrefix="0" xfId="0">
      <alignment horizontal="general" vertical="bottom"/>
    </xf>
    <xf numFmtId="1" fontId="11" fillId="3" borderId="0" applyAlignment="1" pivotButton="0" quotePrefix="0" xfId="0">
      <alignment horizontal="right" vertical="bottom"/>
    </xf>
    <xf numFmtId="0" fontId="13" fillId="0" borderId="0" applyAlignment="1" pivotButton="0" quotePrefix="0" xfId="0">
      <alignment horizontal="general" vertical="bottom"/>
    </xf>
    <xf numFmtId="0" fontId="13" fillId="0" borderId="0" applyAlignment="1" pivotButton="0" quotePrefix="0" xfId="0">
      <alignment horizontal="right" vertical="bottom"/>
    </xf>
    <xf numFmtId="165" fontId="12" fillId="2" borderId="0" applyAlignment="1" pivotButton="0" quotePrefix="0" xfId="0">
      <alignment horizontal="general" vertical="bottom"/>
    </xf>
    <xf numFmtId="165" fontId="9" fillId="0" borderId="0" applyAlignment="1" pivotButton="0" quotePrefix="0" xfId="0">
      <alignment horizontal="general" vertical="bottom"/>
    </xf>
    <xf numFmtId="169" fontId="12" fillId="2" borderId="0" applyAlignment="1" pivotButton="0" quotePrefix="0" xfId="0">
      <alignment horizontal="general" vertical="bottom"/>
    </xf>
    <xf numFmtId="169" fontId="9" fillId="0" borderId="0" applyAlignment="1" pivotButton="0" quotePrefix="0" xfId="0">
      <alignment horizontal="general" vertical="bottom"/>
    </xf>
    <xf numFmtId="167" fontId="7" fillId="0" borderId="0" applyAlignment="1" pivotButton="0" quotePrefix="0" xfId="0">
      <alignment horizontal="general" vertical="bottom"/>
    </xf>
    <xf numFmtId="166" fontId="12" fillId="2" borderId="0" applyAlignment="1" pivotButton="0" quotePrefix="0" xfId="0">
      <alignment horizontal="general" vertical="bottom"/>
    </xf>
    <xf numFmtId="0" fontId="15" fillId="0" borderId="0" applyAlignment="1" pivotButton="0" quotePrefix="0" xfId="0">
      <alignment horizontal="general" vertical="bottom"/>
    </xf>
    <xf numFmtId="169" fontId="7" fillId="0" borderId="0" applyAlignment="1" pivotButton="0" quotePrefix="0" xfId="0">
      <alignment horizontal="general" vertical="bottom"/>
    </xf>
    <xf numFmtId="165" fontId="7" fillId="0" borderId="0" applyAlignment="1" pivotButton="0" quotePrefix="0" xfId="0">
      <alignment horizontal="general" vertical="bottom"/>
    </xf>
    <xf numFmtId="165" fontId="10" fillId="2" borderId="0" applyAlignment="1" pivotButton="0" quotePrefix="0" xfId="0">
      <alignment horizontal="general" vertical="bottom"/>
    </xf>
    <xf numFmtId="169" fontId="8" fillId="0" borderId="0" applyAlignment="1" pivotButton="0" quotePrefix="0" xfId="0">
      <alignment horizontal="general" vertical="bottom"/>
    </xf>
    <xf numFmtId="165" fontId="15" fillId="0" borderId="0" applyAlignment="1" pivotButton="0" quotePrefix="0" xfId="0">
      <alignment horizontal="general" vertical="bottom"/>
    </xf>
    <xf numFmtId="164" fontId="7" fillId="0" borderId="0" applyAlignment="1" pivotButton="0" quotePrefix="0" xfId="0">
      <alignment horizontal="general" vertical="bottom"/>
    </xf>
    <xf numFmtId="169" fontId="9" fillId="0" borderId="2" applyAlignment="1" pivotButton="0" quotePrefix="0" xfId="0">
      <alignment horizontal="general" vertical="bottom"/>
    </xf>
    <xf numFmtId="0" fontId="11" fillId="3" borderId="0" applyAlignment="1" pivotButton="0" quotePrefix="0" xfId="0">
      <alignment horizontal="general" vertical="bottom" wrapText="1"/>
    </xf>
    <xf numFmtId="1" fontId="7" fillId="0" borderId="0" applyAlignment="1" pivotButton="0" quotePrefix="0" xfId="0">
      <alignment horizontal="general" vertical="bottom"/>
    </xf>
    <xf numFmtId="169" fontId="13" fillId="0" borderId="0" applyAlignment="1" pivotButton="0" quotePrefix="0" xfId="0">
      <alignment horizontal="general" vertical="bottom"/>
    </xf>
    <xf numFmtId="168" fontId="7" fillId="0" borderId="0" applyAlignment="1" pivotButton="0" quotePrefix="0" xfId="0">
      <alignment horizontal="general" vertical="bottom"/>
    </xf>
    <xf numFmtId="169" fontId="15" fillId="0" borderId="0" applyAlignment="1" pivotButton="0" quotePrefix="0" xfId="0">
      <alignment horizontal="general" vertical="bottom"/>
    </xf>
    <xf numFmtId="165" fontId="9" fillId="0" borderId="2" applyAlignment="1" pivotButton="0" quotePrefix="0" xfId="0">
      <alignment horizontal="general" vertical="bottom"/>
    </xf>
    <xf numFmtId="167" fontId="15" fillId="0" borderId="0" applyAlignment="1" pivotButton="0" quotePrefix="0" xfId="0">
      <alignment horizontal="general" vertical="bottom"/>
    </xf>
    <xf numFmtId="168" fontId="15" fillId="0" borderId="0" applyAlignment="1" pivotButton="0" quotePrefix="0" xfId="0">
      <alignment horizontal="general" vertical="bottom"/>
    </xf>
    <xf numFmtId="168" fontId="13" fillId="0" borderId="0" applyAlignment="1" pivotButton="0" quotePrefix="0" xfId="0">
      <alignment horizontal="general" vertical="bottom"/>
    </xf>
    <xf numFmtId="0" fontId="16" fillId="0" borderId="0" applyAlignment="1" pivotButton="0" quotePrefix="0" xfId="0">
      <alignment horizontal="general" vertical="bottom"/>
    </xf>
    <xf numFmtId="169" fontId="17" fillId="0" borderId="0" applyAlignment="1" pivotButton="0" quotePrefix="0" xfId="0">
      <alignment horizontal="general" vertical="bottom"/>
    </xf>
    <xf numFmtId="167" fontId="8" fillId="0" borderId="0" applyAlignment="1" pivotButton="0" quotePrefix="0" xfId="0">
      <alignment horizontal="general" vertical="bottom"/>
    </xf>
    <xf numFmtId="167" fontId="17" fillId="0" borderId="0" applyAlignment="1" pivotButton="0" quotePrefix="0" xfId="0">
      <alignment horizontal="general" vertical="bottom"/>
    </xf>
    <xf numFmtId="165" fontId="17" fillId="0" borderId="0" applyAlignment="1" pivotButton="0" quotePrefix="0" xfId="0">
      <alignment horizontal="general" vertical="bottom"/>
    </xf>
    <xf numFmtId="168" fontId="8" fillId="0" borderId="0" applyAlignment="1" pivotButton="0" quotePrefix="0" xfId="0">
      <alignment horizontal="general" vertical="bottom"/>
    </xf>
    <xf numFmtId="168" fontId="17" fillId="0" borderId="0" applyAlignment="1" pivotButton="0" quotePrefix="0" xfId="0">
      <alignment horizontal="general" vertical="bottom"/>
    </xf>
    <xf numFmtId="164" fontId="15" fillId="0" borderId="0" applyAlignment="1" pivotButton="0" quotePrefix="0" xfId="0">
      <alignment horizontal="general" vertical="bottom"/>
    </xf>
    <xf numFmtId="2" fontId="15" fillId="0" borderId="0" applyAlignment="1" pivotButton="0" quotePrefix="0" xfId="0">
      <alignment horizontal="general" vertical="bottom"/>
    </xf>
    <xf numFmtId="1" fontId="15" fillId="0" borderId="0" applyAlignment="1" pivotButton="0" quotePrefix="0" xfId="0">
      <alignment horizontal="general" vertical="bottom"/>
    </xf>
    <xf numFmtId="0" fontId="15" fillId="0"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0" fontId="7" fillId="8"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705F"/>
      <rgbColor rgb="FF800080"/>
      <rgbColor rgb="FF008080"/>
      <rgbColor rgb="FFCFCDC4"/>
      <rgbColor rgb="FF788274"/>
      <rgbColor rgb="FF9999FF"/>
      <rgbColor rgb="FF993366"/>
      <rgbColor rgb="FFFFF6CC"/>
      <rgbColor rgb="FFE8F0E6"/>
      <rgbColor rgb="FF660066"/>
      <rgbColor rgb="FFFF8080"/>
      <rgbColor rgb="FF0066CC"/>
      <rgbColor rgb="FFF2E6E6"/>
      <rgbColor rgb="FF000080"/>
      <rgbColor rgb="FFFF00FF"/>
      <rgbColor rgb="FFFFFF00"/>
      <rgbColor rgb="FF00FFFF"/>
      <rgbColor rgb="FF800080"/>
      <rgbColor rgb="FF800000"/>
      <rgbColor rgb="FF008080"/>
      <rgbColor rgb="FF0000FF"/>
      <rgbColor rgb="FF00CCFF"/>
      <rgbColor rgb="FFEEF1F5"/>
      <rgbColor rgb="FFF4F1E8"/>
      <rgbColor rgb="FFFFFF99"/>
      <rgbColor rgb="FF99CCFF"/>
      <rgbColor rgb="FFFF99CC"/>
      <rgbColor rgb="FFCC99FF"/>
      <rgbColor rgb="FFFFCC99"/>
      <rgbColor rgb="FF3366FF"/>
      <rgbColor rgb="FF33CCCC"/>
      <rgbColor rgb="FF99CC00"/>
      <rgbColor rgb="FFFFCC00"/>
      <rgbColor rgb="FFFF9900"/>
      <rgbColor rgb="FFFF6600"/>
      <rgbColor rgb="FF6E6C66"/>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Unknown Author</author>
  </authors>
  <commentList>
    <comment ref="C6" authorId="0" shapeId="0">
      <text>
        <t>Change this single cell to re-run the whole model.</t>
      </text>
    </comment>
  </commentList>
</comments>
</file>

<file path=xl/comments/comment2.xml><?xml version="1.0" encoding="utf-8"?>
<comments xmlns="http://schemas.openxmlformats.org/spreadsheetml/2006/main">
  <authors>
    <author>Unknown Author</author>
  </authors>
  <commentList>
    <comment ref="D15" authorId="0" shapeId="0">
      <text>
        <t>SOURCED: Bank of Canada Valet FX_RATES_ANNUAL, FXAUSDCAD.</t>
      </text>
    </comment>
    <comment ref="F28" authorId="0" shapeId="0">
      <text>
        <t>COMPANY-PROVIDED: only debt was a CAD 40K CEBA loan at CADS, repaid 2023.</t>
      </text>
    </comment>
    <comment ref="D31" authorId="0" shapeId="0">
      <text>
        <t>PLACEHOLDER: defaults to the FY2025 actual (USD). Tom to replace with the FY2026 estimate. The Organic Build tab uses this to calibrate Y0 fleet revenue.</t>
      </text>
    </comment>
    <comment ref="D32" authorId="0" shapeId="0">
      <text>
        <t>PLACEHOLDER: units expected to be sold in FY2026. Default 0.</t>
      </text>
    </comment>
  </commentList>
</comments>
</file>

<file path=xl/comments/comment3.xml><?xml version="1.0" encoding="utf-8"?>
<comments xmlns="http://schemas.openxmlformats.org/spreadsheetml/2006/main">
  <authors>
    <author>Unknown Author</author>
  </authors>
  <commentList>
    <comment ref="C16" authorId="0" shapeId="0">
      <text>
        <t>SOURCED: RDNA5 (Feb 2026) US$27.6bn.</t>
      </text>
    </comment>
    <comment ref="D20" authorId="0" shapeId="0">
      <text>
        <t>ASSUMPTION: US, Canada and Europe carry the majority of allied demil, EOD and LE destruction spend.</t>
      </text>
    </comment>
    <comment ref="D21" authorId="0" shapeId="0">
      <text>
        <t>ASSUMPTION.</t>
      </text>
    </comment>
  </commentList>
</comments>
</file>

<file path=xl/comments/comment4.xml><?xml version="1.0" encoding="utf-8"?>
<comments xmlns="http://schemas.openxmlformats.org/spreadsheetml/2006/main">
  <authors>
    <author>Unknown Author</author>
  </authors>
  <commentList>
    <comment ref="C7" authorId="0" shapeId="0">
      <text>
        <t>ASSUMPTION: base close year.</t>
      </text>
    </comment>
    <comment ref="E7" authorId="0" shapeId="0">
      <text>
        <t>ASSUMPTION: revenue at entry; founder-held specialists typically $10–20M.</t>
      </text>
    </comment>
    <comment ref="F7" authorId="0" shapeId="0">
      <text>
        <t>ASSUMPTION.</t>
      </text>
    </comment>
    <comment ref="G7" authorId="0" shapeId="0">
      <text>
        <t>ASSUMPTION bounded by SOURCED: GF Data 2025 sub-$10M TEV 5.5x, $10–25M 6.4x; Pepperdine 4.0–8.3x.</t>
      </text>
    </comment>
    <comment ref="H7" authorId="0" shapeId="0">
      <text>
        <t>Scenario on/off: Downside 1, Base 1, Upside 1</t>
      </text>
    </comment>
    <comment ref="H8" authorId="0" shapeId="0">
      <text>
        <t>Scenario on/off: Downside 1, Base 1, Upside 1</t>
      </text>
    </comment>
    <comment ref="H9" authorId="0" shapeId="0">
      <text>
        <t>Scenario on/off: Downside 1, Base 1, Upside 1</t>
      </text>
    </comment>
    <comment ref="H10" authorId="0" shapeId="0">
      <text>
        <t>Scenario on/off: Downside 1, Base 1, Upside 1</t>
      </text>
    </comment>
    <comment ref="H11" authorId="0" shapeId="0">
      <text>
        <t>Scenario on/off: Downside 0, Base 1, Upside 1</t>
      </text>
    </comment>
    <comment ref="H12" authorId="0" shapeId="0">
      <text>
        <t>Scenario on/off: Downside 0, Base 1, Upside 1</t>
      </text>
    </comment>
    <comment ref="H13" authorId="0" shapeId="0">
      <text>
        <t>Scenario on/off: Downside 0, Base 0, Upside 1</t>
      </text>
    </comment>
  </commentList>
</comments>
</file>

<file path=xl/comments/comment5.xml><?xml version="1.0" encoding="utf-8"?>
<comments xmlns="http://schemas.openxmlformats.org/spreadsheetml/2006/main">
  <authors>
    <author>Unknown Author</author>
  </authors>
  <commentList>
    <comment ref="C9" authorId="0" shapeId="0">
      <text>
        <t>ASSUMPTION: defence/environmental field services run ~$150–300k revenue/FTE.</t>
      </text>
    </comment>
    <comment ref="C10" authorId="0" shapeId="0">
      <text>
        <t>ASSUMPTION: founder-held specialists are labour-intensive.</t>
      </text>
    </comment>
    <comment ref="C11" authorId="0" shapeId="0">
      <text>
        <t>ASSUMPTION.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hyperlink" Target="https://www.sipri.org/sites/default/files/2026-04/2604_milex_2025.pdf" TargetMode="External" Id="rId1"/><Relationship Type="http://schemas.openxmlformats.org/officeDocument/2006/relationships/hyperlink" Target="https://www.sipri.org/sites/default/files/2026-04/2604_milex_2025.pdf" TargetMode="External" Id="rId2"/><Relationship Type="http://schemas.openxmlformats.org/officeDocument/2006/relationships/hyperlink" Target="https://www.uu.se/en/press/press-releases/2026/2026-06-09-ucdp-record-number-of-conflicts-between-states" TargetMode="External" Id="rId3"/><Relationship Type="http://schemas.openxmlformats.org/officeDocument/2006/relationships/hyperlink" Target="https://the-monitor.org/api/assets/reports/Landmine-Monitors/LMM2025/Downloads/LM2025-Major-Findings_EN.pdf" TargetMode="External" Id="rId4"/><Relationship Type="http://schemas.openxmlformats.org/officeDocument/2006/relationships/hyperlink" Target="https://www.worldbank.org/en/news/press-release/2026/02/23/updated-ukraine-recovery-and-reconstruction-needs-assessment-released" TargetMode="External" Id="rId5"/><Relationship Type="http://schemas.openxmlformats.org/officeDocument/2006/relationships/hyperlink" Target="https://www.globalgrowthinsights.com/market-reports/explosive-ordnance-disposal-eod-market-109006" TargetMode="External" Id="rId6"/><Relationship Type="http://schemas.openxmlformats.org/officeDocument/2006/relationships/hyperlink" Target="https://www.jmu.edu/cisr/research/tweis/fy23/index.shtml" TargetMode="External" Id="rId7"/><Relationship Type="http://schemas.openxmlformats.org/officeDocument/2006/relationships/hyperlink" Target="https://www.rheinmetall.com/en/media/news-watch/news/2025/06/2025-06-03-rheinmetall-receives-major-international-orders-for-155mm-artillery-ammunition" TargetMode="External" Id="rId8"/><Relationship Type="http://schemas.openxmlformats.org/officeDocument/2006/relationships/hyperlink" Target="https://www.stripes.com/branches/army/2026-07-14/army-artillery-shell-shortfall-22262070.html" TargetMode="External" Id="rId9"/><Relationship Type="http://schemas.openxmlformats.org/officeDocument/2006/relationships/hyperlink" Target="https://breakingdefense.com/2026/03/nato-sees-145b-in-munitions-needs-as-members-all-hit-2-percent-gdp-for-first-time/" TargetMode="External" Id="rId10"/><Relationship Type="http://schemas.openxmlformats.org/officeDocument/2006/relationships/hyperlink" Target="https://www.asafm.army.mil/Portals/72/Documents/BudgetMaterial/2027/Discretionary%20Budget/Procurement/Procurement_of_Ammunition.pdf" TargetMode="External" Id="rId11"/><Relationship Type="http://schemas.openxmlformats.org/officeDocument/2006/relationships/hyperlink" Target="https://www.asafm.army.mil/Portals/72/Documents/BudgetMaterial/2027/Discretionary%20Budget/Procurement/Procurement_of_Ammunition.pdf" TargetMode="External" Id="rId12"/><Relationship Type="http://schemas.openxmlformats.org/officeDocument/2006/relationships/hyperlink" Target="https://www.ndia.org/-/media/sites/ndia/meetings-and-events/proceedings/2025/FFC/October%201/Hrycak_Orest_2025%20FFC_1%20October%202025.pdf" TargetMode="External" Id="rId13"/><Relationship Type="http://schemas.openxmlformats.org/officeDocument/2006/relationships/hyperlink" Target="https://www.ndia.org/-/media/sites/ndia/meetings-and-events/proceedings/2025/FFC/October%201/Hrycak_Orest_2025%20FFC_1%20October%202025.pdf" TargetMode="External" Id="rId14"/><Relationship Type="http://schemas.openxmlformats.org/officeDocument/2006/relationships/hyperlink" Target="https://govconwire.com/2021/05/army-taps-three-companies-for-110m-ammunition-disposal-contract" TargetMode="External" Id="rId15"/><Relationship Type="http://schemas.openxmlformats.org/officeDocument/2006/relationships/hyperlink" Target="https://www.globalsecurity.org/military/library/news/2026/06/dod-contracts_4512718.htm" TargetMode="External" Id="rId16"/><Relationship Type="http://schemas.openxmlformats.org/officeDocument/2006/relationships/hyperlink" Target="https://www.highergov.com/contract-opportunity/conventional-ammunition-demilitarization-w52p1j-19-r-0017-o-e5416/" TargetMode="External" Id="rId17"/><Relationship Type="http://schemas.openxmlformats.org/officeDocument/2006/relationships/hyperlink" Target="https://www.nationalacademies.org/read/25140/chapter/4" TargetMode="External" Id="rId18"/><Relationship Type="http://schemas.openxmlformats.org/officeDocument/2006/relationships/hyperlink" Target="https://www.ndia.org/-/media/sites/ndia/meetings-and-events/proceedings/2025/FFC/October%201/Hrycak_Orest_2025%20FFC_1%20October%202025.pdf" TargetMode="External" Id="rId19"/><Relationship Type="http://schemas.openxmlformats.org/officeDocument/2006/relationships/hyperlink" Target="https://www.federalregister.gov/documents/2024/03/20/2024-05088/revisions-to-standards-for-the-open-burningopen-detonation-of-waste-explosives" TargetMode="External" Id="rId20"/><Relationship Type="http://schemas.openxmlformats.org/officeDocument/2006/relationships/hyperlink" Target="https://www.ecfr.gov/current/title-40/chapter-I/subchapter-I/part-260/subpart-B/section-260.10" TargetMode="External" Id="rId21"/><Relationship Type="http://schemas.openxmlformats.org/officeDocument/2006/relationships/hyperlink" Target="https://www.acquisition.gov/dfars/225.872-1-general." TargetMode="External" Id="rId22"/><Relationship Type="http://schemas.openxmlformats.org/officeDocument/2006/relationships/hyperlink" Target="https://www.federalregister.gov/documents/2025/11/07/2025-19813/final-2025-list-of-critical-minerals" TargetMode="External" Id="rId23"/><Relationship Type="http://schemas.openxmlformats.org/officeDocument/2006/relationships/hyperlink" Target="https://www.gao.gov/products/gao-26-108687" TargetMode="External" Id="rId24"/><Relationship Type="http://schemas.openxmlformats.org/officeDocument/2006/relationships/hyperlink" Target="https://uscode.house.gov/view.xhtml?req=granuleid:USC-prelim-title10-section7690&amp;num=0&amp;edition=prelim" TargetMode="External" Id="rId25"/><Relationship Type="http://schemas.openxmlformats.org/officeDocument/2006/relationships/hyperlink" Target="https://pubs.usgs.gov/periodicals/mcs2026/mcs2026-antimony.pdf" TargetMode="External" Id="rId26"/><Relationship Type="http://schemas.openxmlformats.org/officeDocument/2006/relationships/hyperlink" Target="https://www.ontario.ca/page/environmental-compliance-approval" TargetMode="External" Id="rId27"/><Relationship Type="http://schemas.openxmlformats.org/officeDocument/2006/relationships/hyperlink" Target="https://www.cbsnews.com/losangeles/news/explosion-los-angeles-county-sheriffs-department-training-facility/" TargetMode="External" Id="rId28"/><Relationship Type="http://schemas.openxmlformats.org/officeDocument/2006/relationships/hyperlink" Target="https://www.officer.com/tactical/firearm-accessories/product/10446308/twb-designs-inc-emacs-ammo-burner" TargetMode="External" Id="rId29"/><Relationship Type="http://schemas.openxmlformats.org/officeDocument/2006/relationships/hyperlink" Target="https://patents.google.com/patent/US6758151B2/en" TargetMode="External" Id="rId30"/><Relationship Type="http://schemas.openxmlformats.org/officeDocument/2006/relationships/hyperlink" Target="https://twbdesigns.com/Environmental-Mobile-Ammunition-Combustion/eMACS-Environmental-Mobile-Ammunition-Combustion-System.php" TargetMode="External" Id="rId31"/><Relationship Type="http://schemas.openxmlformats.org/officeDocument/2006/relationships/hyperlink" Target="https://twbdesigns.com/Environmental-Mobile-Ammunition-Combustion/MACS-Mobile-Ammunition-Combustion-System-Canadian-Version.php" TargetMode="External" Id="rId32"/><Relationship Type="http://schemas.openxmlformats.org/officeDocument/2006/relationships/hyperlink" Target="https://www.prweb.com/releases/environmentally_smart_ammunition_disposal_heads_to_northern_europe/prweb11392397.htm" TargetMode="External" Id="rId33"/><Relationship Type="http://schemas.openxmlformats.org/officeDocument/2006/relationships/hyperlink" Target="https://www.officer.com/on-the-street/apparel/article/10440937/results-from-the-2011-innovation-awards?page=2" TargetMode="External" Id="rId34"/><Relationship Type="http://schemas.openxmlformats.org/officeDocument/2006/relationships/hyperlink" Target="https://hilliardohio.gov/safer-homes-spring-clean-out-ammunition-take-back-day-planned-march-21/" TargetMode="External" Id="rId35"/><Relationship Type="http://schemas.openxmlformats.org/officeDocument/2006/relationships/hyperlink" Target="https://www.prweb.com/releases/environmentally_smart_ammunition_disposal_heads_to_northern_europe/prweb11392397.htm" TargetMode="External" Id="rId36"/><Relationship Type="http://schemas.openxmlformats.org/officeDocument/2006/relationships/hyperlink" Target="https://cadsammunitiondisposal.com/About-Us/About-eMACS.php" TargetMode="External" Id="rId37"/><Relationship Type="http://schemas.openxmlformats.org/officeDocument/2006/relationships/hyperlink" Target="https://cadsammunitiondisposal.com/About-Us/About-eMACS.php" TargetMode="External" Id="rId38"/><Relationship Type="http://schemas.openxmlformats.org/officeDocument/2006/relationships/hyperlink" Target="https://dynasafe.com/demilitarization/munitions-destruction-tech/static-detonation-chamber-demilitarization/" TargetMode="External" Id="rId39"/><Relationship Type="http://schemas.openxmlformats.org/officeDocument/2006/relationships/hyperlink" Target="https://www.rheinmetall.com/en/company/subsidiaries/american-rheinmetall-munitions" TargetMode="External" Id="rId40"/><Relationship Type="http://schemas.openxmlformats.org/officeDocument/2006/relationships/hyperlink" Target="https://www.gdots.com/wp-content/uploads/2017/11/Demil-Capabilities.pdf" TargetMode="External" Id="rId41"/><Relationship Type="http://schemas.openxmlformats.org/officeDocument/2006/relationships/hyperlink" Target="https://www.eldoradoengineering.com/thermal-disposal/transportable-flashing-furnace-tff/" TargetMode="External" Id="rId42"/><Relationship Type="http://schemas.openxmlformats.org/officeDocument/2006/relationships/hyperlink" Target="https://www.ga.com/demilitarization-and-hazardous-waste-destruction" TargetMode="External" Id="rId43"/><Relationship Type="http://schemas.openxmlformats.org/officeDocument/2006/relationships/hyperlink" Target="https://www.dayzim.com/services-and-products/munitions/demilitarization-conventional-munitions" TargetMode="External" Id="rId44"/><Relationship Type="http://schemas.openxmlformats.org/officeDocument/2006/relationships/hyperlink" Target="https://envirosafedemil.com/about-esd" TargetMode="External" Id="rId45"/><Relationship Type="http://schemas.openxmlformats.org/officeDocument/2006/relationships/hyperlink" Target="https://stockanalysis.com/stocks/cdre/statistics/" TargetMode="External" Id="rId46"/><Relationship Type="http://schemas.openxmlformats.org/officeDocument/2006/relationships/hyperlink" Target="https://stockanalysis.com/stocks/abat/statistics/" TargetMode="External" Id="rId47"/><Relationship Type="http://schemas.openxmlformats.org/officeDocument/2006/relationships/hyperlink" Target="https://www.pcecompanies.com/resources/industry-reports/aerospace-government-ma-update" TargetMode="External" Id="rId48"/><Relationship Type="http://schemas.openxmlformats.org/officeDocument/2006/relationships/hyperlink" Target="https://www.cadre-holdings.com/news-events/press-releases/detail/45/cadre-holdings-to-acquire-icor-technology" TargetMode="External" Id="rId49"/><Relationship Type="http://schemas.openxmlformats.org/officeDocument/2006/relationships/hyperlink" Target="https://capitalpad.com/lower-middle-market-ebitda-multiples/" TargetMode="External" Id="rId50"/><Relationship Type="http://schemas.openxmlformats.org/officeDocument/2006/relationships/hyperlink" Target="https://new.diehl.com/defence/en/press-media/news/est-energetics-becomes-part-of-diehl-defence" TargetMode="External" Id="rId51"/><Relationship Type="http://schemas.openxmlformats.org/officeDocument/2006/relationships/hyperlink" Target="https://www.ungm.org/Public/Notice/271658" TargetMode="External" Id="rId52"/><Relationship Type="http://schemas.openxmlformats.org/officeDocument/2006/relationships/hyperlink" Target="https://www.merx.com/public/supplier/interception/view-notice/22784936377?origin=0" TargetMode="External" Id="rId53"/><Relationship Type="http://schemas.openxmlformats.org/officeDocument/2006/relationships/hyperlink" Target="https://www.defenceonline.co.uk/2026/08/27/explosive-ordnance-disposal-and-search-supportability-framework/" TargetMode="External" Id="rId54"/><Relationship Type="http://schemas.openxmlformats.org/officeDocument/2006/relationships/hyperlink" Target="https://realloys.com/team/" TargetMode="External" Id="rId55"/></Relationships>
</file>

<file path=xl/worksheets/_rels/sheet13.xml.rels><Relationships xmlns="http://schemas.openxmlformats.org/package/2006/relationships"><Relationship Type="http://schemas.openxmlformats.org/officeDocument/2006/relationships/hyperlink" Target="https://www.sipri.org/sites/default/files/2026-04/2604_milex_2025.pdf" TargetMode="External" Id="rId1"/><Relationship Type="http://schemas.openxmlformats.org/officeDocument/2006/relationships/hyperlink" Target="https://www.sipri.org/sites/default/files/2026-04/2604_milex_2025.pdf" TargetMode="External" Id="rId2"/><Relationship Type="http://schemas.openxmlformats.org/officeDocument/2006/relationships/hyperlink" Target="https://www.uu.se/en/press/press-releases/2026/2026-06-09-ucdp-record-number-of-conflicts-between-states" TargetMode="External" Id="rId3"/><Relationship Type="http://schemas.openxmlformats.org/officeDocument/2006/relationships/hyperlink" Target="https://the-monitor.org/api/assets/reports/Landmine-Monitors/LMM2025/Downloads/LM2025-Major-Findings_EN.pdf" TargetMode="External" Id="rId4"/><Relationship Type="http://schemas.openxmlformats.org/officeDocument/2006/relationships/hyperlink" Target="https://www.worldbank.org/en/news/press-release/2026/02/23/updated-ukraine-recovery-and-reconstruction-needs-assessment-released" TargetMode="External" Id="rId5"/><Relationship Type="http://schemas.openxmlformats.org/officeDocument/2006/relationships/hyperlink" Target="https://www.globalgrowthinsights.com/market-reports/explosive-ordnance-disposal-eod-market-109006" TargetMode="External" Id="rId6"/><Relationship Type="http://schemas.openxmlformats.org/officeDocument/2006/relationships/hyperlink" Target="https://www.jmu.edu/cisr/research/tweis/fy23/index.shtml" TargetMode="External" Id="rId7"/><Relationship Type="http://schemas.openxmlformats.org/officeDocument/2006/relationships/hyperlink" Target="https://www.rheinmetall.com/en/media/news-watch/news/2025/06/2025-06-03-rheinmetall-receives-major-international-orders-for-155mm-artillery-ammunition" TargetMode="External" Id="rId8"/><Relationship Type="http://schemas.openxmlformats.org/officeDocument/2006/relationships/hyperlink" Target="https://www.stripes.com/branches/army/2026-07-14/army-artillery-shell-shortfall-22262070.html" TargetMode="External" Id="rId9"/><Relationship Type="http://schemas.openxmlformats.org/officeDocument/2006/relationships/hyperlink" Target="https://breakingdefense.com/2026/03/nato-sees-145b-in-munitions-needs-as-members-all-hit-2-percent-gdp-for-first-time/" TargetMode="External" Id="rId10"/><Relationship Type="http://schemas.openxmlformats.org/officeDocument/2006/relationships/hyperlink" Target="https://www.asafm.army.mil/Portals/72/Documents/BudgetMaterial/2027/Discretionary%20Budget/Procurement/Procurement_of_Ammunition.pdf" TargetMode="External" Id="rId11"/><Relationship Type="http://schemas.openxmlformats.org/officeDocument/2006/relationships/hyperlink" Target="https://www.asafm.army.mil/Portals/72/Documents/BudgetMaterial/2027/Discretionary%20Budget/Procurement/Procurement_of_Ammunition.pdf" TargetMode="External" Id="rId12"/><Relationship Type="http://schemas.openxmlformats.org/officeDocument/2006/relationships/hyperlink" Target="https://www.ndia.org/-/media/sites/ndia/meetings-and-events/proceedings/2025/FFC/October%201/Hrycak_Orest_2025%20FFC_1%20October%202025.pdf" TargetMode="External" Id="rId13"/><Relationship Type="http://schemas.openxmlformats.org/officeDocument/2006/relationships/hyperlink" Target="https://www.ndia.org/-/media/sites/ndia/meetings-and-events/proceedings/2025/FFC/October%201/Hrycak_Orest_2025%20FFC_1%20October%202025.pdf" TargetMode="External" Id="rId14"/><Relationship Type="http://schemas.openxmlformats.org/officeDocument/2006/relationships/hyperlink" Target="https://govconwire.com/2021/05/army-taps-three-companies-for-110m-ammunition-disposal-contract" TargetMode="External" Id="rId15"/><Relationship Type="http://schemas.openxmlformats.org/officeDocument/2006/relationships/hyperlink" Target="https://www.globalsecurity.org/military/library/news/2026/06/dod-contracts_4512718.htm" TargetMode="External" Id="rId16"/><Relationship Type="http://schemas.openxmlformats.org/officeDocument/2006/relationships/hyperlink" Target="https://www.highergov.com/contract-opportunity/conventional-ammunition-demilitarization-w52p1j-19-r-0017-o-e5416/" TargetMode="External" Id="rId17"/><Relationship Type="http://schemas.openxmlformats.org/officeDocument/2006/relationships/hyperlink" Target="https://www.nationalacademies.org/read/25140/chapter/4" TargetMode="External" Id="rId18"/><Relationship Type="http://schemas.openxmlformats.org/officeDocument/2006/relationships/hyperlink" Target="https://www.ndia.org/-/media/sites/ndia/meetings-and-events/proceedings/2025/FFC/October%201/Hrycak_Orest_2025%20FFC_1%20October%202025.pdf" TargetMode="External" Id="rId19"/><Relationship Type="http://schemas.openxmlformats.org/officeDocument/2006/relationships/hyperlink" Target="https://www.federalregister.gov/documents/2024/03/20/2024-05088/revisions-to-standards-for-the-open-burningopen-detonation-of-waste-explosives" TargetMode="External" Id="rId20"/><Relationship Type="http://schemas.openxmlformats.org/officeDocument/2006/relationships/hyperlink" Target="https://www.ecfr.gov/current/title-40/chapter-I/subchapter-I/part-260/subpart-B/section-260.10" TargetMode="External" Id="rId21"/><Relationship Type="http://schemas.openxmlformats.org/officeDocument/2006/relationships/hyperlink" Target="https://www.acquisition.gov/dfars/225.872-1-general." TargetMode="External" Id="rId22"/><Relationship Type="http://schemas.openxmlformats.org/officeDocument/2006/relationships/hyperlink" Target="https://www.federalregister.gov/documents/2025/11/07/2025-19813/final-2025-list-of-critical-minerals" TargetMode="External" Id="rId23"/><Relationship Type="http://schemas.openxmlformats.org/officeDocument/2006/relationships/hyperlink" Target="https://www.gao.gov/products/gao-26-108687" TargetMode="External" Id="rId24"/><Relationship Type="http://schemas.openxmlformats.org/officeDocument/2006/relationships/hyperlink" Target="https://uscode.house.gov/view.xhtml?req=granuleid:USC-prelim-title10-section7690&amp;num=0&amp;edition=prelim" TargetMode="External" Id="rId25"/><Relationship Type="http://schemas.openxmlformats.org/officeDocument/2006/relationships/hyperlink" Target="https://pubs.usgs.gov/periodicals/mcs2026/mcs2026-antimony.pdf" TargetMode="External" Id="rId26"/><Relationship Type="http://schemas.openxmlformats.org/officeDocument/2006/relationships/hyperlink" Target="https://www.ontario.ca/page/environmental-compliance-approval" TargetMode="External" Id="rId27"/><Relationship Type="http://schemas.openxmlformats.org/officeDocument/2006/relationships/hyperlink" Target="https://www.cbsnews.com/losangeles/news/explosion-los-angeles-county-sheriffs-department-training-facility/" TargetMode="External" Id="rId28"/><Relationship Type="http://schemas.openxmlformats.org/officeDocument/2006/relationships/hyperlink" Target="https://www.officer.com/tactical/firearm-accessories/product/10446308/twb-designs-inc-emacs-ammo-burner" TargetMode="External" Id="rId29"/><Relationship Type="http://schemas.openxmlformats.org/officeDocument/2006/relationships/hyperlink" Target="https://patents.google.com/patent/US6758151B2/en" TargetMode="External" Id="rId30"/><Relationship Type="http://schemas.openxmlformats.org/officeDocument/2006/relationships/hyperlink" Target="https://twbdesigns.com/Environmental-Mobile-Ammunition-Combustion/eMACS-Environmental-Mobile-Ammunition-Combustion-System.php" TargetMode="External" Id="rId31"/><Relationship Type="http://schemas.openxmlformats.org/officeDocument/2006/relationships/hyperlink" Target="https://twbdesigns.com/Environmental-Mobile-Ammunition-Combustion/MACS-Mobile-Ammunition-Combustion-System-Canadian-Version.php" TargetMode="External" Id="rId32"/><Relationship Type="http://schemas.openxmlformats.org/officeDocument/2006/relationships/hyperlink" Target="https://www.prweb.com/releases/environmentally_smart_ammunition_disposal_heads_to_northern_europe/prweb11392397.htm" TargetMode="External" Id="rId33"/><Relationship Type="http://schemas.openxmlformats.org/officeDocument/2006/relationships/hyperlink" Target="https://www.officer.com/on-the-street/apparel/article/10440937/results-from-the-2011-innovation-awards?page=2" TargetMode="External" Id="rId34"/><Relationship Type="http://schemas.openxmlformats.org/officeDocument/2006/relationships/hyperlink" Target="https://hilliardohio.gov/safer-homes-spring-clean-out-ammunition-take-back-day-planned-march-21/" TargetMode="External" Id="rId35"/><Relationship Type="http://schemas.openxmlformats.org/officeDocument/2006/relationships/hyperlink" Target="https://www.prweb.com/releases/environmentally_smart_ammunition_disposal_heads_to_northern_europe/prweb11392397.htm" TargetMode="External" Id="rId36"/><Relationship Type="http://schemas.openxmlformats.org/officeDocument/2006/relationships/hyperlink" Target="https://cadsammunitiondisposal.com/About-Us/About-eMACS.php" TargetMode="External" Id="rId37"/><Relationship Type="http://schemas.openxmlformats.org/officeDocument/2006/relationships/hyperlink" Target="https://cadsammunitiondisposal.com/About-Us/About-eMACS.php" TargetMode="External" Id="rId38"/><Relationship Type="http://schemas.openxmlformats.org/officeDocument/2006/relationships/hyperlink" Target="https://dynasafe.com/demilitarization/munitions-destruction-tech/static-detonation-chamber-demilitarization/" TargetMode="External" Id="rId39"/><Relationship Type="http://schemas.openxmlformats.org/officeDocument/2006/relationships/hyperlink" Target="https://www.rheinmetall.com/en/company/subsidiaries/american-rheinmetall-munitions" TargetMode="External" Id="rId40"/><Relationship Type="http://schemas.openxmlformats.org/officeDocument/2006/relationships/hyperlink" Target="https://www.gdots.com/wp-content/uploads/2017/11/Demil-Capabilities.pdf" TargetMode="External" Id="rId41"/><Relationship Type="http://schemas.openxmlformats.org/officeDocument/2006/relationships/hyperlink" Target="https://www.eldoradoengineering.com/thermal-disposal/transportable-flashing-furnace-tff/" TargetMode="External" Id="rId42"/><Relationship Type="http://schemas.openxmlformats.org/officeDocument/2006/relationships/hyperlink" Target="https://www.ga.com/demilitarization-and-hazardous-waste-destruction" TargetMode="External" Id="rId43"/><Relationship Type="http://schemas.openxmlformats.org/officeDocument/2006/relationships/hyperlink" Target="https://www.dayzim.com/services-and-products/munitions/demilitarization-conventional-munitions" TargetMode="External" Id="rId44"/><Relationship Type="http://schemas.openxmlformats.org/officeDocument/2006/relationships/hyperlink" Target="https://envirosafedemil.com/about-esd" TargetMode="External" Id="rId45"/><Relationship Type="http://schemas.openxmlformats.org/officeDocument/2006/relationships/hyperlink" Target="https://stockanalysis.com/stocks/cdre/statistics/" TargetMode="External" Id="rId46"/><Relationship Type="http://schemas.openxmlformats.org/officeDocument/2006/relationships/hyperlink" Target="https://stockanalysis.com/stocks/abat/statistics/" TargetMode="External" Id="rId47"/><Relationship Type="http://schemas.openxmlformats.org/officeDocument/2006/relationships/hyperlink" Target="https://www.pcecompanies.com/resources/industry-reports/aerospace-government-ma-update" TargetMode="External" Id="rId48"/><Relationship Type="http://schemas.openxmlformats.org/officeDocument/2006/relationships/hyperlink" Target="https://www.cadre-holdings.com/news-events/press-releases/detail/45/cadre-holdings-to-acquire-icor-technology" TargetMode="External" Id="rId49"/><Relationship Type="http://schemas.openxmlformats.org/officeDocument/2006/relationships/hyperlink" Target="https://capitalpad.com/lower-middle-market-ebitda-multiples/" TargetMode="External" Id="rId50"/><Relationship Type="http://schemas.openxmlformats.org/officeDocument/2006/relationships/hyperlink" Target="https://new.diehl.com/defence/en/press-media/news/est-energetics-becomes-part-of-diehl-defence" TargetMode="External" Id="rId51"/><Relationship Type="http://schemas.openxmlformats.org/officeDocument/2006/relationships/hyperlink" Target="https://www.ungm.org/Public/Notice/271658" TargetMode="External" Id="rId52"/><Relationship Type="http://schemas.openxmlformats.org/officeDocument/2006/relationships/hyperlink" Target="https://www.merx.com/public/supplier/interception/view-notice/22784936377?origin=0" TargetMode="External" Id="rId53"/><Relationship Type="http://schemas.openxmlformats.org/officeDocument/2006/relationships/hyperlink" Target="https://www.defenceonline.co.uk/2026/08/27/explosive-ordnance-disposal-and-search-supportability-framework/" TargetMode="External" Id="rId54"/><Relationship Type="http://schemas.openxmlformats.org/officeDocument/2006/relationships/hyperlink" Target="https://realloys.com/team/" TargetMode="External" Id="rId55"/><Relationship Type="http://schemas.openxmlformats.org/officeDocument/2006/relationships/hyperlink" Target="https://patents.google.com/patent/US6758151B2/en" TargetMode="External" Id="rId56"/></Relationships>
</file>

<file path=xl/worksheets/sheet1.xml><?xml version="1.0" encoding="utf-8"?>
<worksheet xmlns="http://schemas.openxmlformats.org/spreadsheetml/2006/main">
  <sheetPr filterMode="0">
    <tabColor rgb="FFCFCDC4"/>
    <outlinePr summaryBelow="1" summaryRight="1"/>
    <pageSetUpPr fitToPage="0"/>
  </sheetPr>
  <dimension ref="B2:C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120" customWidth="1" style="73" min="2" max="2"/>
    <col width="22" customWidth="1" style="73" min="3" max="3"/>
    <col width="11" customWidth="1" style="73" min="4" max="14"/>
  </cols>
  <sheetData>
    <row r="2" ht="17.25" customHeight="1" s="74">
      <c r="B2" s="75" t="inlineStr">
        <is>
          <t>TWB Designs — Demilitarization &amp; Global Secure Destruction Platform</t>
        </is>
      </c>
    </row>
    <row r="3" ht="15" customHeight="1" s="74">
      <c r="B3" s="76" t="inlineStr">
        <is>
          <t>Financial model · 10-year plan (2026–2036) · USD millions · Investor package build of 1 September 2026</t>
        </is>
      </c>
    </row>
    <row r="5" ht="15" customHeight="1" s="74">
      <c r="B5" s="77" t="inlineStr">
        <is>
          <t>How this model is built</t>
        </is>
      </c>
    </row>
    <row r="6" ht="23.25" customHeight="1" s="74">
      <c r="B6" s="78" t="inlineStr">
        <is>
          <t>Every figure in the deck and the memo ties to a cell on the Outputs tab. Inputs live only on the Inputs, Baseline, Market and Acquisitions tabs; every other tab is formulas.</t>
        </is>
      </c>
    </row>
    <row r="7" ht="15" customHeight="1" s="74">
      <c r="B7" s="78" t="n"/>
    </row>
    <row r="8" ht="15" customHeight="1" s="74">
      <c r="B8" s="77" t="inlineStr">
        <is>
          <t>Colour legend</t>
        </is>
      </c>
    </row>
    <row r="9" ht="15" customHeight="1" s="74">
      <c r="B9" s="78" t="inlineStr">
        <is>
          <t>Blue text on yellow = hard-coded input or scenario lever (edit these). Black = formula. Green = link to another tab. Sage band = section header.</t>
        </is>
      </c>
    </row>
    <row r="10" ht="23.25" customHeight="1" s="74">
      <c r="B10" s="78" t="inlineStr">
        <is>
          <t>Every input carries a cell comment saying whether it is SOURCED (with citation), COMPANY-PROVIDED, an ASSUMPTION (our construction), or a PLACEHOLDER awaiting company data.</t>
        </is>
      </c>
    </row>
    <row r="11" ht="15" customHeight="1" s="74">
      <c r="B11" s="78" t="n"/>
    </row>
    <row r="12" ht="15" customHeight="1" s="74">
      <c r="B12" s="77" t="inlineStr">
        <is>
          <t>Scenario selector</t>
        </is>
      </c>
    </row>
    <row r="13" ht="23.25" customHeight="1" s="74">
      <c r="B13" s="78" t="inlineStr">
        <is>
          <t>Inputs!C6 = 1 Downside · 2 Base · 3 Upside. Every scenario-driven input reads from its Downside/Base/Upside columns via CHOOSE, so the whole workbook re-runs live. The Scenarios tab also holds a snapshot of all three cases taken at build time.</t>
        </is>
      </c>
    </row>
    <row r="14" ht="15" customHeight="1" s="74">
      <c r="B14" s="78" t="n"/>
    </row>
    <row r="15" ht="15" customHeight="1" s="74">
      <c r="B15" s="77" t="inlineStr">
        <is>
          <t>Tabs</t>
        </is>
      </c>
    </row>
    <row r="16" ht="15" customHeight="1" s="74">
      <c r="B16" s="78" t="inlineStr">
        <is>
          <t>Inputs — every assumption and scenario lever, grouped: organic drivers, margins, corporate, acquisitions programme, capital, valuation.</t>
        </is>
      </c>
    </row>
    <row r="17" ht="15" customHeight="1" s="74">
      <c r="B17" s="78" t="inlineStr">
        <is>
          <t>Baseline — FY2023–FY2025 actuals (compiled, unaudited, CAD → USD at Bank of Canada annual averages) and the FY2026 placeholder.</t>
        </is>
      </c>
    </row>
    <row r="18" ht="15" customHeight="1" s="74">
      <c r="B18" s="78" t="inlineStr">
        <is>
          <t>Market — TAM / SAM / SOM construction, layer by layer, each layer labelled sourced or assumed. SOM = the model's own Year-5 revenue.</t>
        </is>
      </c>
    </row>
    <row r="19" ht="23.25" customHeight="1" s="74">
      <c r="B19" s="78" t="inlineStr">
        <is>
          <t>Organic Build — fleet-driven custody destruction services, equipment sales, allied/sovereign programmes, post-conflict programmes, metals recovery.</t>
        </is>
      </c>
    </row>
    <row r="20" ht="15" customHeight="1" s="74">
      <c r="B20" s="78" t="inlineStr">
        <is>
          <t>Acquisitions — deal-by-deal capability acquisitions: close year, entry revenue, margin, multiple, price, integration, post-close growth.</t>
        </is>
      </c>
    </row>
    <row r="21" ht="15" customHeight="1" s="74">
      <c r="B21" s="78" t="inlineStr">
        <is>
          <t>P&amp;L &amp; Capital — consolidated revenue and EBITDA, capex, acquisition spend, working capital, cumulative funding requirement and capital by phase.</t>
        </is>
      </c>
    </row>
    <row r="22" ht="15" customHeight="1" s="74">
      <c r="B22" s="78" t="inlineStr">
        <is>
          <t>Headcount — implied FTE by revenue/FTE benchmarks.</t>
        </is>
      </c>
    </row>
    <row r="23" ht="15" customHeight="1" s="74">
      <c r="B23" s="78" t="inlineStr">
        <is>
          <t>Returns &amp; Valuation — PE-style returns case (exit at Year 5 / Year 7, MOIC &amp; IRR) and the Year-10 discounted-future-value bridge with sensitivities.</t>
        </is>
      </c>
    </row>
    <row r="24" ht="15" customHeight="1" s="74">
      <c r="B24" s="78" t="inlineStr">
        <is>
          <t>Scenarios — lever settings and a build-time snapshot of the three cases.</t>
        </is>
      </c>
    </row>
    <row r="25" ht="15" customHeight="1" s="74">
      <c r="B25" s="78" t="inlineStr">
        <is>
          <t>Outputs — the deck/memo tie-out: every number used, with the slide it appears on.</t>
        </is>
      </c>
    </row>
    <row r="26" ht="15" customHeight="1" s="74">
      <c r="B26" s="78" t="inlineStr">
        <is>
          <t>Sources — citations with URLs for every sourced figure.</t>
        </is>
      </c>
    </row>
    <row r="27" ht="15" customHeight="1" s="74">
      <c r="B27" s="78" t="inlineStr">
        <is>
          <t>Fact-Check Log — every claim in the package, its status, the support found, and what changed versus the August 2026 package.</t>
        </is>
      </c>
    </row>
    <row r="28" ht="15" customHeight="1" s="74">
      <c r="B28" s="78" t="n"/>
    </row>
    <row r="29" ht="15" customHeight="1" s="74">
      <c r="B29" s="77" t="inlineStr">
        <is>
          <t>Headline (live, base case unless the selector is changed)</t>
        </is>
      </c>
    </row>
    <row r="30" ht="15" customHeight="1" s="74">
      <c r="B30" s="79" t="inlineStr">
        <is>
          <t>Revenue — Year 5 (2031)</t>
        </is>
      </c>
      <c r="C30" s="80">
        <f>Outputs!$C$11</f>
        <v/>
      </c>
    </row>
    <row r="31" ht="15" customHeight="1" s="74">
      <c r="B31" s="79" t="inlineStr">
        <is>
          <t>Revenue — Year 10 (2036)</t>
        </is>
      </c>
      <c r="C31" s="80">
        <f>Outputs!$C$15</f>
        <v/>
      </c>
    </row>
    <row r="32" ht="15" customHeight="1" s="74">
      <c r="B32" s="79" t="inlineStr">
        <is>
          <t>Adjusted EBITDA — Year 10</t>
        </is>
      </c>
      <c r="C32" s="80">
        <f>Outputs!$C$21</f>
        <v/>
      </c>
    </row>
    <row r="33" ht="15" customHeight="1" s="74">
      <c r="B33" s="79" t="inlineStr">
        <is>
          <t>Capital required 2026–31 (Phases 1–3)</t>
        </is>
      </c>
      <c r="C33" s="80">
        <f>Outputs!$C$29+Outputs!$C$30+Outputs!$C$31</f>
        <v/>
      </c>
    </row>
    <row r="34" ht="15" customHeight="1" s="74">
      <c r="B34" s="79" t="inlineStr">
        <is>
          <t>Acquisitions in plan</t>
        </is>
      </c>
      <c r="C34" s="81">
        <f>Outputs!$C$24</f>
        <v/>
      </c>
    </row>
    <row r="35" ht="15" customHeight="1" s="74">
      <c r="B35" s="79" t="inlineStr">
        <is>
          <t>Returns case — MOIC / IRR at Year-7 exit</t>
        </is>
      </c>
      <c r="C35" s="82">
        <f>TEXT(Outputs!$C$63,"0.0x")&amp;" / "&amp;TEXT(Outputs!$C$64,"0%")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88274"/>
    <outlinePr summaryBelow="1" summaryRight="1"/>
    <pageSetUpPr fitToPage="0"/>
  </sheetPr>
  <dimension ref="B2:N9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3"/>
    <col width="13" customWidth="1" style="73" min="4" max="6"/>
    <col width="70" customWidth="1" style="73" min="7" max="7"/>
    <col width="11" customWidth="1" style="73" min="8" max="14"/>
  </cols>
  <sheetData>
    <row r="2" ht="17.25" customHeight="1" s="74">
      <c r="B2" s="75" t="inlineStr">
        <is>
          <t>Inputs &amp; scenario levers</t>
        </is>
      </c>
    </row>
    <row r="3" ht="15" customHeight="1" s="74">
      <c r="B3" s="76" t="inlineStr">
        <is>
          <t>Blue on yellow = edit. Column C is the LIVE value used by the model; D/E/F hold Downside / Base / Upside where a lever is scenario-driven.</t>
        </is>
      </c>
    </row>
    <row r="6" ht="15" customHeight="1" s="74">
      <c r="B6" s="83" t="inlineStr">
        <is>
          <t>SCENARIO SELECTOR  (1 = Downside, 2 = Base, 3 = Upside)</t>
        </is>
      </c>
      <c r="C6" s="84" t="n">
        <v>2</v>
      </c>
    </row>
    <row r="7" ht="15" customHeight="1" s="74">
      <c r="B7" s="79" t="inlineStr">
        <is>
          <t>Active scenario</t>
        </is>
      </c>
      <c r="C7" s="83">
        <f>CHOOSE($C$6,"Downside","Base","Upside")</f>
        <v/>
      </c>
    </row>
    <row r="9" ht="15" customHeight="1" s="74">
      <c r="B9" s="85" t="inlineStr">
        <is>
          <t>Lever</t>
        </is>
      </c>
      <c r="C9" s="85" t="inlineStr">
        <is>
          <t>Live</t>
        </is>
      </c>
      <c r="D9" s="85" t="inlineStr">
        <is>
          <t>Downside</t>
        </is>
      </c>
      <c r="E9" s="85" t="inlineStr">
        <is>
          <t>Base</t>
        </is>
      </c>
      <c r="F9" s="85" t="inlineStr">
        <is>
          <t>Upside</t>
        </is>
      </c>
      <c r="G9" s="85" t="inlineStr">
        <is>
          <t>Basis / source</t>
        </is>
      </c>
    </row>
    <row r="10" ht="15" customHeight="1" s="74">
      <c r="B10" s="86" t="inlineStr">
        <is>
          <t>A. Organic drivers — custody destruction services (eMACS fleet)</t>
        </is>
      </c>
      <c r="C10" s="87" t="n"/>
      <c r="D10" s="87" t="n"/>
      <c r="E10" s="87" t="n"/>
      <c r="F10" s="87" t="n"/>
      <c r="G10" s="87" t="n"/>
      <c r="H10" s="87" t="n"/>
      <c r="I10" s="87" t="n"/>
      <c r="J10" s="87" t="n"/>
      <c r="K10" s="87" t="n"/>
      <c r="L10" s="87" t="n"/>
      <c r="M10" s="87" t="n"/>
      <c r="N10" s="87" t="n"/>
    </row>
    <row r="11" ht="23.25" customHeight="1" s="74">
      <c r="B11" s="79" t="inlineStr">
        <is>
          <t>CAD per USD — Bank of Canada annual average 2025</t>
        </is>
      </c>
      <c r="C11" s="88" t="n">
        <v>1.3978</v>
      </c>
      <c r="G11" s="89" t="inlineStr">
        <is>
          <t>SOURCED: Bank of Canada annual average exchange rates (FXAUSDCAD) 2025 = 1.3978; 2024 = 1.3698; 2023 = 1.3497.</t>
        </is>
      </c>
    </row>
    <row r="12" ht="45.75" customHeight="1" s="74">
      <c r="B12" s="79" t="inlineStr">
        <is>
          <t>Revenue per deployed eMACS unit-year (USD M)</t>
        </is>
      </c>
      <c r="C12" s="90">
        <f>CHOOSE($C$6,D12,E12,F12)</f>
        <v/>
      </c>
      <c r="D12" s="91" t="n">
        <v>0.4</v>
      </c>
      <c r="E12" s="91" t="n">
        <v>0.5</v>
      </c>
      <c r="F12" s="91" t="n">
        <v>0.6</v>
      </c>
      <c r="G12" s="89" t="inlineStr">
        <is>
          <t>ASSUMPTION for a fully utilised unit under the platform (US entity, LE + defence + allied demand). Note: FY2025 services revenue was USD 0.52M across the existing fleet, i.e. well below this rate per unit — the plan assumes utilisation rises. Y0 uses the Baseline placeholder, not this rate.</t>
        </is>
      </c>
    </row>
    <row r="13" ht="15" customHeight="1" s="74">
      <c r="B13" s="79" t="inlineStr">
        <is>
          <t>Service price escalation per year</t>
        </is>
      </c>
      <c r="C13" s="92">
        <f>CHOOSE($C$6,D13,E13,F13)</f>
        <v/>
      </c>
      <c r="D13" s="93" t="n">
        <v>0.02</v>
      </c>
      <c r="E13" s="93" t="n">
        <v>0.03</v>
      </c>
      <c r="F13" s="93" t="n">
        <v>0.04</v>
      </c>
      <c r="G13" s="89" t="inlineStr">
        <is>
          <t>ASSUMPTION.</t>
        </is>
      </c>
    </row>
    <row r="14" ht="15" customHeight="1" s="74">
      <c r="B14" s="79" t="inlineStr">
        <is>
          <t>First-year utilisation of a newly deployed unit</t>
        </is>
      </c>
      <c r="C14" s="92">
        <f>CHOOSE($C$6,D14,E14,F14)</f>
        <v/>
      </c>
      <c r="D14" s="93" t="n">
        <v>0.4</v>
      </c>
      <c r="E14" s="93" t="n">
        <v>0.5</v>
      </c>
      <c r="F14" s="93" t="n">
        <v>0.6</v>
      </c>
      <c r="G14" s="89" t="inlineStr">
        <is>
          <t>ASSUMPTION: a unit added in year t earns this fraction of a full unit-year in t.</t>
        </is>
      </c>
    </row>
    <row r="15" ht="34.5" customHeight="1" s="74">
      <c r="B15" s="79" t="inlineStr">
        <is>
          <t>Metals recovery contribution — % of custody destruction services revenue</t>
        </is>
      </c>
      <c r="C15" s="92">
        <f>CHOOSE($C$6,D15,E15,F15)</f>
        <v/>
      </c>
      <c r="D15" s="93" t="n">
        <v>0.05</v>
      </c>
      <c r="E15" s="93" t="n">
        <v>0.1</v>
      </c>
      <c r="F15" s="93" t="n">
        <v>0.15</v>
      </c>
      <c r="G15" s="89" t="inlineStr">
        <is>
          <t>ASSUMPTION (original model used 14%). Underwritten on LE/commercial/allied work only — in US DoD demil services the Army sells recyclable material itself (10 USC 7690).</t>
        </is>
      </c>
    </row>
    <row r="16" ht="23.25" customHeight="1" s="74">
      <c r="B16" s="79" t="inlineStr">
        <is>
          <t>eMACS equipment sale price per unit (USD M)</t>
        </is>
      </c>
      <c r="C16" s="90">
        <f>CHOOSE($C$6,D16,E16,F16)</f>
        <v/>
      </c>
      <c r="D16" s="91" t="n">
        <v>0.55</v>
      </c>
      <c r="E16" s="91" t="n">
        <v>0.65</v>
      </c>
      <c r="F16" s="91" t="n">
        <v>0.75</v>
      </c>
      <c r="G16" s="89" t="inlineStr">
        <is>
          <t>COMPANY-PROVIDED anchor: FY2024 equipment revenue CAD 863,500 ≈ USD 0.63M (one unit sale). Base 0.65.</t>
        </is>
      </c>
    </row>
    <row r="17" ht="23.25" customHeight="1" s="74">
      <c r="B17" s="79" t="inlineStr">
        <is>
          <t>Average annual revenue per allied / sovereign programme (USD M)</t>
        </is>
      </c>
      <c r="C17" s="90">
        <f>CHOOSE($C$6,D17,E17,F17)</f>
        <v/>
      </c>
      <c r="D17" s="91" t="n">
        <v>6</v>
      </c>
      <c r="E17" s="91" t="n">
        <v>10</v>
      </c>
      <c r="F17" s="91" t="n">
        <v>15</v>
      </c>
      <c r="G17" s="89" t="inlineStr">
        <is>
          <t>ASSUMPTION / PLACEHOLDER. Sovereign design-build-operate-certify programmes; no public comparable — to be hardened in diligence.</t>
        </is>
      </c>
    </row>
    <row r="18" ht="23.25" customHeight="1" s="74">
      <c r="B18" s="79" t="inlineStr">
        <is>
          <t>Post-conflict / clearance programme revenue at maturity (USD M per programme-year)</t>
        </is>
      </c>
      <c r="C18" s="90">
        <f>CHOOSE($C$6,D18,E18,F18)</f>
        <v/>
      </c>
      <c r="D18" s="91" t="n">
        <v>3</v>
      </c>
      <c r="E18" s="91" t="n">
        <v>5</v>
      </c>
      <c r="F18" s="91" t="n">
        <v>8</v>
      </c>
      <c r="G18" s="89" t="inlineStr">
        <is>
          <t>ASSUMPTION. Ukraine EHM need US$27.6bn 2026–35 (RDNA5); tenders are commercial and contestable.</t>
        </is>
      </c>
    </row>
    <row r="19" ht="15" customHeight="1" s="74">
      <c r="B19" s="86" t="inlineStr">
        <is>
          <t>B. Margins (EBITDA contribution by line)</t>
        </is>
      </c>
      <c r="C19" s="87" t="n"/>
      <c r="D19" s="87" t="n"/>
      <c r="E19" s="87" t="n"/>
      <c r="F19" s="87" t="n"/>
      <c r="G19" s="87" t="n"/>
      <c r="H19" s="87" t="n"/>
      <c r="I19" s="87" t="n"/>
      <c r="J19" s="87" t="n"/>
      <c r="K19" s="87" t="n"/>
      <c r="L19" s="87" t="n"/>
      <c r="M19" s="87" t="n"/>
      <c r="N19" s="87" t="n"/>
    </row>
    <row r="20" ht="23.25" customHeight="1" s="74">
      <c r="B20" s="79" t="inlineStr">
        <is>
          <t>Custody destruction services</t>
        </is>
      </c>
      <c r="C20" s="92">
        <f>CHOOSE($C$6,D20,E20,F20)</f>
        <v/>
      </c>
      <c r="D20" s="93" t="n">
        <v>0.25</v>
      </c>
      <c r="E20" s="93" t="n">
        <v>0.3</v>
      </c>
      <c r="F20" s="93" t="n">
        <v>0.35</v>
      </c>
      <c r="G20" s="89" t="inlineStr">
        <is>
          <t>ASSUMPTION anchored to FY2023–25 combined EBITDA margins of 27–43% on a small base; scaled fleet assumed lower.</t>
        </is>
      </c>
    </row>
    <row r="21" ht="15" customHeight="1" s="74">
      <c r="B21" s="79" t="inlineStr">
        <is>
          <t>Equipment sales</t>
        </is>
      </c>
      <c r="C21" s="92">
        <f>CHOOSE($C$6,D21,E21,F21)</f>
        <v/>
      </c>
      <c r="D21" s="93" t="n">
        <v>0.2</v>
      </c>
      <c r="E21" s="93" t="n">
        <v>0.25</v>
      </c>
      <c r="F21" s="93" t="n">
        <v>0.3</v>
      </c>
      <c r="G21" s="89" t="inlineStr">
        <is>
          <t>ASSUMPTION.</t>
        </is>
      </c>
    </row>
    <row r="22" ht="15" customHeight="1" s="74">
      <c r="B22" s="79" t="inlineStr">
        <is>
          <t>Allied / sovereign programmes</t>
        </is>
      </c>
      <c r="C22" s="92">
        <f>CHOOSE($C$6,D22,E22,F22)</f>
        <v/>
      </c>
      <c r="D22" s="93" t="n">
        <v>0.12</v>
      </c>
      <c r="E22" s="93" t="n">
        <v>0.15</v>
      </c>
      <c r="F22" s="93" t="n">
        <v>0.18</v>
      </c>
      <c r="G22" s="89" t="inlineStr">
        <is>
          <t>ASSUMPTION (engineering / build-operate work).</t>
        </is>
      </c>
    </row>
    <row r="23" ht="15" customHeight="1" s="74">
      <c r="B23" s="79" t="inlineStr">
        <is>
          <t>Post-conflict programmes</t>
        </is>
      </c>
      <c r="C23" s="92">
        <f>CHOOSE($C$6,D23,E23,F23)</f>
        <v/>
      </c>
      <c r="D23" s="93" t="n">
        <v>0.1</v>
      </c>
      <c r="E23" s="93" t="n">
        <v>0.15</v>
      </c>
      <c r="F23" s="93" t="n">
        <v>0.18</v>
      </c>
      <c r="G23" s="89" t="inlineStr">
        <is>
          <t>ASSUMPTION.</t>
        </is>
      </c>
    </row>
    <row r="24" ht="15" customHeight="1" s="74">
      <c r="B24" s="79" t="inlineStr">
        <is>
          <t>Metals recovery (contribution after processing &amp; logistics)</t>
        </is>
      </c>
      <c r="C24" s="92">
        <f>CHOOSE($C$6,D24,E24,F24)</f>
        <v/>
      </c>
      <c r="D24" s="93" t="n">
        <v>0.4</v>
      </c>
      <c r="E24" s="93" t="n">
        <v>0.5</v>
      </c>
      <c r="F24" s="93" t="n">
        <v>0.6</v>
      </c>
      <c r="G24" s="89" t="inlineStr">
        <is>
          <t>ASSUMPTION.</t>
        </is>
      </c>
    </row>
    <row r="25" ht="15" customHeight="1" s="74">
      <c r="B25" s="86" t="inlineStr">
        <is>
          <t>C. Corporate platform cost (USD M per year, before acquisitions) — Base schedule; scenario scales it</t>
        </is>
      </c>
      <c r="C25" s="87" t="n"/>
      <c r="D25" s="87" t="n"/>
      <c r="E25" s="87" t="n"/>
      <c r="F25" s="87" t="n"/>
      <c r="G25" s="87" t="n"/>
      <c r="H25" s="87" t="n"/>
      <c r="I25" s="87" t="n"/>
      <c r="J25" s="87" t="n"/>
      <c r="K25" s="87" t="n"/>
      <c r="L25" s="87" t="n"/>
      <c r="M25" s="87" t="n"/>
      <c r="N25" s="87" t="n"/>
    </row>
    <row r="26" ht="15" customHeight="1" s="74">
      <c r="B26" s="79" t="inlineStr">
        <is>
          <t>Corporate cost scale factor vs Base schedule</t>
        </is>
      </c>
      <c r="C26" s="94">
        <f>CHOOSE($C$6,D26,E26,F26)</f>
        <v/>
      </c>
      <c r="D26" s="95" t="n">
        <v>0.75</v>
      </c>
      <c r="E26" s="95" t="n">
        <v>1</v>
      </c>
      <c r="F26" s="95" t="n">
        <v>1.15</v>
      </c>
      <c r="G26" s="89" t="inlineStr">
        <is>
          <t>ASSUMPTION: Upside carries a heavier platform team earlier.</t>
        </is>
      </c>
    </row>
    <row r="27" ht="15" customHeight="1" s="74">
      <c r="B27" s="79" t="inlineStr">
        <is>
          <t>Incremental platform overhead as % of acquired revenue</t>
        </is>
      </c>
      <c r="C27" s="92">
        <f>CHOOSE($C$6,D27,E27,F27)</f>
        <v/>
      </c>
      <c r="D27" s="93" t="n">
        <v>0.03</v>
      </c>
      <c r="E27" s="93" t="n">
        <v>0.02</v>
      </c>
      <c r="F27" s="93" t="n">
        <v>0.02</v>
      </c>
      <c r="G27" s="89" t="inlineStr">
        <is>
          <t>ASSUMPTION: integration/central functions layered on acquired businesses.</t>
        </is>
      </c>
    </row>
    <row r="28" ht="15" customHeight="1" s="74">
      <c r="B28" s="86" t="inlineStr">
        <is>
          <t>D. Acquisition programme levers (deal table on the Acquisitions tab)</t>
        </is>
      </c>
      <c r="C28" s="87" t="n"/>
      <c r="D28" s="87" t="n"/>
      <c r="E28" s="87" t="n"/>
      <c r="F28" s="87" t="n"/>
      <c r="G28" s="87" t="n"/>
      <c r="H28" s="87" t="n"/>
      <c r="I28" s="87" t="n"/>
      <c r="J28" s="87" t="n"/>
      <c r="K28" s="87" t="n"/>
      <c r="L28" s="87" t="n"/>
      <c r="M28" s="87" t="n"/>
      <c r="N28" s="87" t="n"/>
    </row>
    <row r="29" ht="15" customHeight="1" s="74">
      <c r="B29" s="79" t="inlineStr">
        <is>
          <t>Post-acquisition revenue growth of acquired businesses</t>
        </is>
      </c>
      <c r="C29" s="92">
        <f>CHOOSE($C$6,D29,E29,F29)</f>
        <v/>
      </c>
      <c r="D29" s="93" t="n">
        <v>0.06</v>
      </c>
      <c r="E29" s="93" t="n">
        <v>0.12</v>
      </c>
      <c r="F29" s="93" t="n">
        <v>0.18</v>
      </c>
      <c r="G29" s="89" t="inlineStr">
        <is>
          <t>ASSUMPTION. Original model 15%.</t>
        </is>
      </c>
    </row>
    <row r="30" ht="15" customHeight="1" s="74">
      <c r="B30" s="79" t="inlineStr">
        <is>
          <t>EBITDA margin uplift on acquired businesses by third year post-close (pts)</t>
        </is>
      </c>
      <c r="C30" s="92">
        <f>CHOOSE($C$6,D30,E30,F30)</f>
        <v/>
      </c>
      <c r="D30" s="93" t="n">
        <v>0</v>
      </c>
      <c r="E30" s="93" t="n">
        <v>0.04</v>
      </c>
      <c r="F30" s="93" t="n">
        <v>0.06</v>
      </c>
      <c r="G30" s="89" t="inlineStr">
        <is>
          <t>ASSUMPTION: cross-sell, shared recovery relationships, procurement.</t>
        </is>
      </c>
    </row>
    <row r="31" ht="15" customHeight="1" s="74">
      <c r="B31" s="79" t="inlineStr">
        <is>
          <t>One-off integration cost as % of purchase price</t>
        </is>
      </c>
      <c r="C31" s="92">
        <f>CHOOSE($C$6,D31,E31,F31)</f>
        <v/>
      </c>
      <c r="D31" s="93" t="n">
        <v>0.12</v>
      </c>
      <c r="E31" s="93" t="n">
        <v>0.1</v>
      </c>
      <c r="F31" s="93" t="n">
        <v>0.08</v>
      </c>
      <c r="G31" s="89" t="inlineStr">
        <is>
          <t>ASSUMPTION.</t>
        </is>
      </c>
    </row>
    <row r="32" ht="23.25" customHeight="1" s="74">
      <c r="B32" s="79" t="inlineStr">
        <is>
          <t>Close-year shift applied to every deal (years; +1 = later)</t>
        </is>
      </c>
      <c r="C32" s="96">
        <f>CHOOSE($C$6,D32,E32,F32)</f>
        <v/>
      </c>
      <c r="D32" s="97" t="n">
        <v>1</v>
      </c>
      <c r="E32" s="97" t="n">
        <v>0</v>
      </c>
      <c r="F32" s="97" t="n">
        <v>0</v>
      </c>
      <c r="G32" s="89" t="inlineStr">
        <is>
          <t>ASSUMPTION: Downside delays every deal one year. Upside keeps base timing (deal 7 switches on instead).</t>
        </is>
      </c>
    </row>
    <row r="33" ht="23.25" customHeight="1" s="74">
      <c r="B33" s="79" t="inlineStr">
        <is>
          <t>Pricing basis: 1 = EBITDA multiple (deal table), 2 = revenue multiple (sensitivity)</t>
        </is>
      </c>
      <c r="C33" s="98" t="n">
        <v>1</v>
      </c>
      <c r="G33" s="89" t="inlineStr">
        <is>
          <t>Switch to 2 to price every deal at the revenue multiple below (stress test against disclosed sector transactions at 1.5–3.4x revenue).</t>
        </is>
      </c>
    </row>
    <row r="34" ht="23.25" customHeight="1" s="74">
      <c r="B34" s="79" t="inlineStr">
        <is>
          <t>Revenue multiple used when pricing basis = 2</t>
        </is>
      </c>
      <c r="C34" s="99" t="n">
        <v>2</v>
      </c>
      <c r="G34" s="89" t="inlineStr">
        <is>
          <t>SOURCED band: Cadre–ICOR ~2.3x; Cadre–Alpha Safety ~2.4x; Cadre–Carr's ~1.5x; Rheinmetall–Expal ~3.4x (2021 revenue). 2.0x used as the stress case.</t>
        </is>
      </c>
    </row>
    <row r="35" ht="15" customHeight="1" s="74">
      <c r="B35" s="86" t="inlineStr">
        <is>
          <t>E. Capital &amp; working capital</t>
        </is>
      </c>
      <c r="C35" s="87" t="n"/>
      <c r="D35" s="87" t="n"/>
      <c r="E35" s="87" t="n"/>
      <c r="F35" s="87" t="n"/>
      <c r="G35" s="87" t="n"/>
      <c r="H35" s="87" t="n"/>
      <c r="I35" s="87" t="n"/>
      <c r="J35" s="87" t="n"/>
      <c r="K35" s="87" t="n"/>
      <c r="L35" s="87" t="n"/>
      <c r="M35" s="87" t="n"/>
      <c r="N35" s="87" t="n"/>
    </row>
    <row r="36" ht="23.25" customHeight="1" s="74">
      <c r="B36" s="79" t="inlineStr">
        <is>
          <t>Fleet capex — cost to build one eMACS unit (USD M)</t>
        </is>
      </c>
      <c r="C36" s="90">
        <f>CHOOSE($C$6,D36,E36,F36)</f>
        <v/>
      </c>
      <c r="D36" s="91" t="n">
        <v>0.45</v>
      </c>
      <c r="E36" s="91" t="n">
        <v>0.4</v>
      </c>
      <c r="F36" s="91" t="n">
        <v>0.4</v>
      </c>
      <c r="G36" s="89" t="inlineStr">
        <is>
          <t>PLACEHOLDER: build cost per unit not provided; set below the 0.65 sale price. TOM TO CONFIRM.</t>
        </is>
      </c>
    </row>
    <row r="37" ht="15" customHeight="1" s="74">
      <c r="B37" s="79" t="inlineStr">
        <is>
          <t>Maintenance capex — % of total revenue</t>
        </is>
      </c>
      <c r="C37" s="92">
        <f>CHOOSE($C$6,D37,E37,F37)</f>
        <v/>
      </c>
      <c r="D37" s="93" t="n">
        <v>0.03</v>
      </c>
      <c r="E37" s="93" t="n">
        <v>0.025</v>
      </c>
      <c r="F37" s="93" t="n">
        <v>0.02</v>
      </c>
      <c r="G37" s="89" t="inlineStr">
        <is>
          <t>ASSUMPTION.</t>
        </is>
      </c>
    </row>
    <row r="38" ht="15" customHeight="1" s="74">
      <c r="B38" s="79" t="inlineStr">
        <is>
          <t>Working capital — % of incremental revenue</t>
        </is>
      </c>
      <c r="C38" s="92">
        <f>CHOOSE($C$6,D38,E38,F38)</f>
        <v/>
      </c>
      <c r="D38" s="93" t="n">
        <v>0.15</v>
      </c>
      <c r="E38" s="93" t="n">
        <v>0.12</v>
      </c>
      <c r="F38" s="93" t="n">
        <v>0.1</v>
      </c>
      <c r="G38" s="89" t="inlineStr">
        <is>
          <t>ASSUMPTION (government receivables).</t>
        </is>
      </c>
    </row>
    <row r="39" ht="23.25" customHeight="1" s="74">
      <c r="B39" s="79" t="inlineStr">
        <is>
          <t>Development &amp; partnership programme spend scale vs Base schedule</t>
        </is>
      </c>
      <c r="C39" s="94">
        <f>CHOOSE($C$6,D39,E39,F39)</f>
        <v/>
      </c>
      <c r="D39" s="95" t="n">
        <v>0.8</v>
      </c>
      <c r="E39" s="95" t="n">
        <v>1</v>
      </c>
      <c r="F39" s="95" t="n">
        <v>1.3</v>
      </c>
      <c r="G39" s="89" t="inlineStr">
        <is>
          <t>ASSUMPTION: calibre-ladder development, certification layer, robotics/university partnerships.</t>
        </is>
      </c>
    </row>
    <row r="40" ht="23.25" customHeight="1" s="74">
      <c r="B40" s="79" t="inlineStr">
        <is>
          <t>Cash tax rate on positive EBIT (simplified)</t>
        </is>
      </c>
      <c r="C40" s="92">
        <f>CHOOSE($C$6,D40,E40,F40)</f>
        <v/>
      </c>
      <c r="D40" s="93" t="n">
        <v>0.26</v>
      </c>
      <c r="E40" s="93" t="n">
        <v>0.26</v>
      </c>
      <c r="F40" s="93" t="n">
        <v>0.26</v>
      </c>
      <c r="G40" s="89" t="inlineStr">
        <is>
          <t>ASSUMPTION: blended Canada/US statutory ~26%; losses carried forward not modelled (conservative).</t>
        </is>
      </c>
    </row>
    <row r="41" ht="15" customHeight="1" s="74">
      <c r="B41" s="79" t="inlineStr">
        <is>
          <t>Depreciation &amp; amortisation — % of revenue (for tax only)</t>
        </is>
      </c>
      <c r="C41" s="92">
        <f>CHOOSE($C$6,D41,E41,F41)</f>
        <v/>
      </c>
      <c r="D41" s="93" t="n">
        <v>0.04</v>
      </c>
      <c r="E41" s="93" t="n">
        <v>0.04</v>
      </c>
      <c r="F41" s="93" t="n">
        <v>0.04</v>
      </c>
      <c r="G41" s="89" t="inlineStr">
        <is>
          <t>ASSUMPTION.</t>
        </is>
      </c>
    </row>
    <row r="42" ht="15" customHeight="1" s="74">
      <c r="B42" s="86" t="inlineStr">
        <is>
          <t>F. Valuation &amp; returns</t>
        </is>
      </c>
      <c r="C42" s="87" t="n"/>
      <c r="D42" s="87" t="n"/>
      <c r="E42" s="87" t="n"/>
      <c r="F42" s="87" t="n"/>
      <c r="G42" s="87" t="n"/>
      <c r="H42" s="87" t="n"/>
      <c r="I42" s="87" t="n"/>
      <c r="J42" s="87" t="n"/>
      <c r="K42" s="87" t="n"/>
      <c r="L42" s="87" t="n"/>
      <c r="M42" s="87" t="n"/>
      <c r="N42" s="87" t="n"/>
    </row>
    <row r="43" ht="34.5" customHeight="1" s="74">
      <c r="B43" s="79" t="inlineStr">
        <is>
          <t>Exit EV/EBITDA multiple (returns case)</t>
        </is>
      </c>
      <c r="C43" s="100">
        <f>CHOOSE($C$6,D43,E43,F43)</f>
        <v/>
      </c>
      <c r="D43" s="101" t="n">
        <v>8</v>
      </c>
      <c r="E43" s="101" t="n">
        <v>10</v>
      </c>
      <c r="F43" s="101" t="n">
        <v>12</v>
      </c>
      <c r="G43" s="89" t="inlineStr">
        <is>
          <t>ASSUMPTION bounded by SOURCED comps: KPMG A&amp;D government services ~11.2x (end-2025); Cadre trades 15.3x (Aug 2026); lower-middle-market private 5.5–6.4x (GF Data 2025). 10x base for a scaled platform.</t>
        </is>
      </c>
    </row>
    <row r="44" ht="23.25" customHeight="1" s="74">
      <c r="B44" s="79" t="inlineStr">
        <is>
          <t>Discount rate — Year-10 DFV bridge</t>
        </is>
      </c>
      <c r="C44" s="92">
        <f>CHOOSE($C$6,D44,E44,F44)</f>
        <v/>
      </c>
      <c r="D44" s="93" t="n">
        <v>0.3</v>
      </c>
      <c r="E44" s="93" t="n">
        <v>0.25</v>
      </c>
      <c r="F44" s="93" t="n">
        <v>0.2</v>
      </c>
      <c r="G44" s="89" t="inlineStr">
        <is>
          <t>ASSUMPTION: 25–35% is the venture/growth underwriting band; original model used 20% (too low per teardown).</t>
        </is>
      </c>
    </row>
    <row r="45" ht="23.25" customHeight="1" s="74">
      <c r="B45" s="79" t="inlineStr">
        <is>
          <t>DFV bridge — low comp multiple (public A&amp;D services)</t>
        </is>
      </c>
      <c r="C45" s="99" t="n">
        <v>11.2</v>
      </c>
      <c r="G45" s="89" t="inlineStr">
        <is>
          <t>SOURCED: KPMG Government Technology Solutions H2 2025 — sector EV/EBITDA 11.2x.</t>
        </is>
      </c>
    </row>
    <row r="46" ht="34.5" customHeight="1" s="74">
      <c r="B46" s="79" t="inlineStr">
        <is>
          <t>DFV bridge — high comp multiple (Cadre Holdings trading multiple)</t>
        </is>
      </c>
      <c r="C46" s="99" t="n">
        <v>15.3</v>
      </c>
      <c r="G46" s="89" t="inlineStr">
        <is>
          <t>SOURCED: Cadre Holdings EV/EBITDA 15.25x, stockanalysis.com, 31 Aug 2026. (Private A&amp;D deal median 18.96x per PCE Q2 2026 shown on the Returns tab as an upper reference, not used.)</t>
        </is>
      </c>
    </row>
    <row r="47" ht="15" customHeight="1" s="74">
      <c r="B47" s="79" t="inlineStr">
        <is>
          <t>Year-10 EBITDA margin used in the DFV bridge</t>
        </is>
      </c>
      <c r="C47" s="102">
        <f>'P&amp;L &amp; Capital'!N24</f>
        <v/>
      </c>
      <c r="G47" s="89" t="inlineStr">
        <is>
          <t>LINKED to the operating model (original model hard-coded 20%).</t>
        </is>
      </c>
    </row>
    <row r="49" ht="15" customHeight="1" s="74">
      <c r="B49" s="86" t="inlineStr">
        <is>
          <t>G. Financing — initial raise</t>
        </is>
      </c>
      <c r="C49" s="87" t="n"/>
      <c r="D49" s="87" t="n"/>
      <c r="E49" s="87" t="n"/>
      <c r="F49" s="87" t="n"/>
      <c r="G49" s="87" t="n"/>
      <c r="H49" s="87" t="n"/>
      <c r="I49" s="87" t="n"/>
      <c r="J49" s="87" t="n"/>
      <c r="K49" s="87" t="n"/>
      <c r="L49" s="87" t="n"/>
      <c r="M49" s="87" t="n"/>
      <c r="N49" s="87" t="n"/>
    </row>
    <row r="50" ht="34.5" customHeight="1" s="74">
      <c r="B50" s="79" t="inlineStr">
        <is>
          <t>Initial raise (Round 1) — amount</t>
        </is>
      </c>
      <c r="C50" s="103" t="n">
        <v>10</v>
      </c>
      <c r="G50" s="89" t="inlineStr">
        <is>
          <t>COMPANY-PROVIDED: confirmed by Tom, 2 Sep 2026. This is the round being raised now — a decision input, not derived from the model. The phase ladder and use-of-proceeds below show what it is sized against and how far it reaches.</t>
        </is>
      </c>
    </row>
    <row r="52" ht="15" customHeight="1" s="74">
      <c r="B52" s="86" t="inlineStr">
        <is>
          <t>H. Yearly schedules — three rows per driver (Downside / Base / Upside); LIVE row picks by selector</t>
        </is>
      </c>
      <c r="C52" s="87" t="n"/>
      <c r="D52" s="87" t="n"/>
      <c r="E52" s="87" t="n"/>
      <c r="F52" s="87" t="n"/>
      <c r="G52" s="87" t="n"/>
      <c r="H52" s="87" t="n"/>
      <c r="I52" s="87" t="n"/>
      <c r="J52" s="87" t="n"/>
      <c r="K52" s="87" t="n"/>
      <c r="L52" s="87" t="n"/>
      <c r="M52" s="87" t="n"/>
      <c r="N52" s="87" t="n"/>
    </row>
    <row r="53" ht="15" customHeight="1" s="74">
      <c r="B53" s="85" t="inlineStr">
        <is>
          <t>USD millions unless noted</t>
        </is>
      </c>
      <c r="C53" s="85" t="inlineStr">
        <is>
          <t>Input / note</t>
        </is>
      </c>
      <c r="D53" s="104" t="n">
        <v>2026</v>
      </c>
      <c r="E53" s="104" t="n">
        <v>2027</v>
      </c>
      <c r="F53" s="104" t="n">
        <v>2028</v>
      </c>
      <c r="G53" s="104" t="n">
        <v>2029</v>
      </c>
      <c r="H53" s="104" t="n">
        <v>2030</v>
      </c>
      <c r="I53" s="104" t="n">
        <v>2031</v>
      </c>
      <c r="J53" s="104" t="n">
        <v>2032</v>
      </c>
      <c r="K53" s="104" t="n">
        <v>2033</v>
      </c>
      <c r="L53" s="104" t="n">
        <v>2034</v>
      </c>
      <c r="M53" s="104" t="n">
        <v>2035</v>
      </c>
      <c r="N53" s="104" t="n">
        <v>2036</v>
      </c>
    </row>
    <row r="54" ht="15" customHeight="1" s="74">
      <c r="B54" s="105" t="inlineStr">
        <is>
          <t>Model year</t>
        </is>
      </c>
      <c r="D54" s="106" t="inlineStr">
        <is>
          <t>Y0</t>
        </is>
      </c>
      <c r="E54" s="106" t="inlineStr">
        <is>
          <t>Y1</t>
        </is>
      </c>
      <c r="F54" s="106" t="inlineStr">
        <is>
          <t>Y2</t>
        </is>
      </c>
      <c r="G54" s="106" t="inlineStr">
        <is>
          <t>Y3</t>
        </is>
      </c>
      <c r="H54" s="106" t="inlineStr">
        <is>
          <t>Y4</t>
        </is>
      </c>
      <c r="I54" s="106" t="inlineStr">
        <is>
          <t>Y5</t>
        </is>
      </c>
      <c r="J54" s="106" t="inlineStr">
        <is>
          <t>Y6</t>
        </is>
      </c>
      <c r="K54" s="106" t="inlineStr">
        <is>
          <t>Y7</t>
        </is>
      </c>
      <c r="L54" s="106" t="inlineStr">
        <is>
          <t>Y8</t>
        </is>
      </c>
      <c r="M54" s="106" t="inlineStr">
        <is>
          <t>Y9</t>
        </is>
      </c>
      <c r="N54" s="106" t="inlineStr">
        <is>
          <t>Y10</t>
        </is>
      </c>
    </row>
    <row r="55" ht="15" customHeight="1" s="74">
      <c r="B55" s="83" t="inlineStr">
        <is>
          <t>eMACS units added to the deployed fleet (count; Y0 = units in service today)</t>
        </is>
      </c>
      <c r="C55" s="76" t="inlineStr">
        <is>
          <t>PLACEHOLDER Y0 = 2 units in service (TOM TO CONFIRM). Additions are ASSUMPTIONS.</t>
        </is>
      </c>
    </row>
    <row r="56" ht="15" customHeight="1" s="74">
      <c r="B56" s="105" t="inlineStr">
        <is>
          <t xml:space="preserve">   Downside</t>
        </is>
      </c>
      <c r="D56" s="107" t="n">
        <v>2</v>
      </c>
      <c r="E56" s="107" t="n">
        <v>0</v>
      </c>
      <c r="F56" s="107" t="n">
        <v>1</v>
      </c>
      <c r="G56" s="107" t="n">
        <v>1</v>
      </c>
      <c r="H56" s="107" t="n">
        <v>1</v>
      </c>
      <c r="I56" s="107" t="n">
        <v>1</v>
      </c>
      <c r="J56" s="107" t="n">
        <v>1</v>
      </c>
      <c r="K56" s="107" t="n">
        <v>1</v>
      </c>
      <c r="L56" s="107" t="n">
        <v>1</v>
      </c>
      <c r="M56" s="107" t="n">
        <v>1</v>
      </c>
      <c r="N56" s="107" t="n">
        <v>1</v>
      </c>
    </row>
    <row r="57" ht="15" customHeight="1" s="74">
      <c r="B57" s="105" t="inlineStr">
        <is>
          <t xml:space="preserve">   Base</t>
        </is>
      </c>
      <c r="D57" s="107" t="n">
        <v>2</v>
      </c>
      <c r="E57" s="107" t="n">
        <v>1</v>
      </c>
      <c r="F57" s="107" t="n">
        <v>2</v>
      </c>
      <c r="G57" s="107" t="n">
        <v>3</v>
      </c>
      <c r="H57" s="107" t="n">
        <v>3</v>
      </c>
      <c r="I57" s="107" t="n">
        <v>3</v>
      </c>
      <c r="J57" s="107" t="n">
        <v>3</v>
      </c>
      <c r="K57" s="107" t="n">
        <v>3</v>
      </c>
      <c r="L57" s="107" t="n">
        <v>3</v>
      </c>
      <c r="M57" s="107" t="n">
        <v>3</v>
      </c>
      <c r="N57" s="107" t="n">
        <v>3</v>
      </c>
    </row>
    <row r="58" ht="15" customHeight="1" s="74">
      <c r="B58" s="105" t="inlineStr">
        <is>
          <t xml:space="preserve">   Upside</t>
        </is>
      </c>
      <c r="D58" s="107" t="n">
        <v>2</v>
      </c>
      <c r="E58" s="107" t="n">
        <v>2</v>
      </c>
      <c r="F58" s="107" t="n">
        <v>3</v>
      </c>
      <c r="G58" s="107" t="n">
        <v>4</v>
      </c>
      <c r="H58" s="107" t="n">
        <v>4</v>
      </c>
      <c r="I58" s="107" t="n">
        <v>4</v>
      </c>
      <c r="J58" s="107" t="n">
        <v>4</v>
      </c>
      <c r="K58" s="107" t="n">
        <v>4</v>
      </c>
      <c r="L58" s="107" t="n">
        <v>4</v>
      </c>
      <c r="M58" s="107" t="n">
        <v>4</v>
      </c>
      <c r="N58" s="107" t="n">
        <v>4</v>
      </c>
    </row>
    <row r="59" ht="15" customHeight="1" s="74">
      <c r="B59" s="83" t="inlineStr">
        <is>
          <t xml:space="preserve">   LIVE</t>
        </is>
      </c>
      <c r="D59" s="108">
        <f>CHOOSE($C$6,D56,D57,D58)</f>
        <v/>
      </c>
      <c r="E59" s="108">
        <f>CHOOSE($C$6,E56,E57,E58)</f>
        <v/>
      </c>
      <c r="F59" s="108">
        <f>CHOOSE($C$6,F56,F57,F58)</f>
        <v/>
      </c>
      <c r="G59" s="108">
        <f>CHOOSE($C$6,G56,G57,G58)</f>
        <v/>
      </c>
      <c r="H59" s="108">
        <f>CHOOSE($C$6,H56,H57,H58)</f>
        <v/>
      </c>
      <c r="I59" s="108">
        <f>CHOOSE($C$6,I56,I57,I58)</f>
        <v/>
      </c>
      <c r="J59" s="108">
        <f>CHOOSE($C$6,J56,J57,J58)</f>
        <v/>
      </c>
      <c r="K59" s="108">
        <f>CHOOSE($C$6,K56,K57,K58)</f>
        <v/>
      </c>
      <c r="L59" s="108">
        <f>CHOOSE($C$6,L56,L57,L58)</f>
        <v/>
      </c>
      <c r="M59" s="108">
        <f>CHOOSE($C$6,M56,M57,M58)</f>
        <v/>
      </c>
      <c r="N59" s="108">
        <f>CHOOSE($C$6,N56,N57,N58)</f>
        <v/>
      </c>
    </row>
    <row r="61" ht="15" customHeight="1" s="74">
      <c r="B61" s="83" t="inlineStr">
        <is>
          <t>eMACS equipment units sold via agents (count)</t>
        </is>
      </c>
      <c r="C61" s="76" t="inlineStr">
        <is>
          <t>ASSUMPTION; history is lumpy (one sale in FY2024).</t>
        </is>
      </c>
    </row>
    <row r="62" ht="15" customHeight="1" s="74">
      <c r="B62" s="105" t="inlineStr">
        <is>
          <t xml:space="preserve">   Downside</t>
        </is>
      </c>
      <c r="D62" s="107" t="n">
        <v>0</v>
      </c>
      <c r="E62" s="107" t="n">
        <v>0</v>
      </c>
      <c r="F62" s="107" t="n">
        <v>1</v>
      </c>
      <c r="G62" s="107" t="n">
        <v>0</v>
      </c>
      <c r="H62" s="107" t="n">
        <v>1</v>
      </c>
      <c r="I62" s="107" t="n">
        <v>1</v>
      </c>
      <c r="J62" s="107" t="n">
        <v>1</v>
      </c>
      <c r="K62" s="107" t="n">
        <v>1</v>
      </c>
      <c r="L62" s="107" t="n">
        <v>1</v>
      </c>
      <c r="M62" s="107" t="n">
        <v>1</v>
      </c>
      <c r="N62" s="107" t="n">
        <v>1</v>
      </c>
    </row>
    <row r="63" ht="15" customHeight="1" s="74">
      <c r="B63" s="105" t="inlineStr">
        <is>
          <t xml:space="preserve">   Base</t>
        </is>
      </c>
      <c r="D63" s="107" t="n">
        <v>0</v>
      </c>
      <c r="E63" s="107" t="n">
        <v>1</v>
      </c>
      <c r="F63" s="107" t="n">
        <v>1</v>
      </c>
      <c r="G63" s="107" t="n">
        <v>2</v>
      </c>
      <c r="H63" s="107" t="n">
        <v>2</v>
      </c>
      <c r="I63" s="107" t="n">
        <v>2</v>
      </c>
      <c r="J63" s="107" t="n">
        <v>3</v>
      </c>
      <c r="K63" s="107" t="n">
        <v>3</v>
      </c>
      <c r="L63" s="107" t="n">
        <v>3</v>
      </c>
      <c r="M63" s="107" t="n">
        <v>3</v>
      </c>
      <c r="N63" s="107" t="n">
        <v>3</v>
      </c>
    </row>
    <row r="64" ht="15" customHeight="1" s="74">
      <c r="B64" s="105" t="inlineStr">
        <is>
          <t xml:space="preserve">   Upside</t>
        </is>
      </c>
      <c r="D64" s="107" t="n">
        <v>0</v>
      </c>
      <c r="E64" s="107" t="n">
        <v>1</v>
      </c>
      <c r="F64" s="107" t="n">
        <v>2</v>
      </c>
      <c r="G64" s="107" t="n">
        <v>2</v>
      </c>
      <c r="H64" s="107" t="n">
        <v>3</v>
      </c>
      <c r="I64" s="107" t="n">
        <v>3</v>
      </c>
      <c r="J64" s="107" t="n">
        <v>4</v>
      </c>
      <c r="K64" s="107" t="n">
        <v>4</v>
      </c>
      <c r="L64" s="107" t="n">
        <v>4</v>
      </c>
      <c r="M64" s="107" t="n">
        <v>4</v>
      </c>
      <c r="N64" s="107" t="n">
        <v>4</v>
      </c>
    </row>
    <row r="65" ht="15" customHeight="1" s="74">
      <c r="B65" s="83" t="inlineStr">
        <is>
          <t xml:space="preserve">   LIVE</t>
        </is>
      </c>
      <c r="D65" s="108">
        <f>CHOOSE($C$6,D62,D63,D64)</f>
        <v/>
      </c>
      <c r="E65" s="108">
        <f>CHOOSE($C$6,E62,E63,E64)</f>
        <v/>
      </c>
      <c r="F65" s="108">
        <f>CHOOSE($C$6,F62,F63,F64)</f>
        <v/>
      </c>
      <c r="G65" s="108">
        <f>CHOOSE($C$6,G62,G63,G64)</f>
        <v/>
      </c>
      <c r="H65" s="108">
        <f>CHOOSE($C$6,H62,H63,H64)</f>
        <v/>
      </c>
      <c r="I65" s="108">
        <f>CHOOSE($C$6,I62,I63,I64)</f>
        <v/>
      </c>
      <c r="J65" s="108">
        <f>CHOOSE($C$6,J62,J63,J64)</f>
        <v/>
      </c>
      <c r="K65" s="108">
        <f>CHOOSE($C$6,K62,K63,K64)</f>
        <v/>
      </c>
      <c r="L65" s="108">
        <f>CHOOSE($C$6,L62,L63,L64)</f>
        <v/>
      </c>
      <c r="M65" s="108">
        <f>CHOOSE($C$6,M62,M63,M64)</f>
        <v/>
      </c>
      <c r="N65" s="108">
        <f>CHOOSE($C$6,N62,N63,N64)</f>
        <v/>
      </c>
    </row>
    <row r="67" ht="15" customHeight="1" s="74">
      <c r="B67" s="83" t="inlineStr">
        <is>
          <t>Allied / sovereign programmes active (count)</t>
        </is>
      </c>
      <c r="C67" s="76" t="inlineStr">
        <is>
          <t>ASSUMPTION: Phase 3 offer (design-build-operate-certify) from 2030 in Base.</t>
        </is>
      </c>
    </row>
    <row r="68" ht="15" customHeight="1" s="74">
      <c r="B68" s="105" t="inlineStr">
        <is>
          <t xml:space="preserve">   Downside</t>
        </is>
      </c>
      <c r="D68" s="107" t="n">
        <v>0</v>
      </c>
      <c r="E68" s="107" t="n">
        <v>0</v>
      </c>
      <c r="F68" s="107" t="n">
        <v>0</v>
      </c>
      <c r="G68" s="107" t="n">
        <v>0</v>
      </c>
      <c r="H68" s="107" t="n">
        <v>0</v>
      </c>
      <c r="I68" s="107" t="n">
        <v>0</v>
      </c>
      <c r="J68" s="107" t="n">
        <v>1</v>
      </c>
      <c r="K68" s="107" t="n">
        <v>1</v>
      </c>
      <c r="L68" s="107" t="n">
        <v>2</v>
      </c>
      <c r="M68" s="107" t="n">
        <v>2</v>
      </c>
      <c r="N68" s="107" t="n">
        <v>3</v>
      </c>
    </row>
    <row r="69" ht="15" customHeight="1" s="74">
      <c r="B69" s="105" t="inlineStr">
        <is>
          <t xml:space="preserve">   Base</t>
        </is>
      </c>
      <c r="D69" s="107" t="n">
        <v>0</v>
      </c>
      <c r="E69" s="107" t="n">
        <v>0</v>
      </c>
      <c r="F69" s="107" t="n">
        <v>0</v>
      </c>
      <c r="G69" s="107" t="n">
        <v>0</v>
      </c>
      <c r="H69" s="107" t="n">
        <v>1</v>
      </c>
      <c r="I69" s="107" t="n">
        <v>2</v>
      </c>
      <c r="J69" s="107" t="n">
        <v>3</v>
      </c>
      <c r="K69" s="107" t="n">
        <v>4</v>
      </c>
      <c r="L69" s="107" t="n">
        <v>5</v>
      </c>
      <c r="M69" s="107" t="n">
        <v>6</v>
      </c>
      <c r="N69" s="107" t="n">
        <v>8</v>
      </c>
    </row>
    <row r="70" ht="15" customHeight="1" s="74">
      <c r="B70" s="105" t="inlineStr">
        <is>
          <t xml:space="preserve">   Upside</t>
        </is>
      </c>
      <c r="D70" s="107" t="n">
        <v>0</v>
      </c>
      <c r="E70" s="107" t="n">
        <v>0</v>
      </c>
      <c r="F70" s="107" t="n">
        <v>0</v>
      </c>
      <c r="G70" s="107" t="n">
        <v>1</v>
      </c>
      <c r="H70" s="107" t="n">
        <v>2</v>
      </c>
      <c r="I70" s="107" t="n">
        <v>3</v>
      </c>
      <c r="J70" s="107" t="n">
        <v>4</v>
      </c>
      <c r="K70" s="107" t="n">
        <v>6</v>
      </c>
      <c r="L70" s="107" t="n">
        <v>8</v>
      </c>
      <c r="M70" s="107" t="n">
        <v>10</v>
      </c>
      <c r="N70" s="107" t="n">
        <v>12</v>
      </c>
    </row>
    <row r="71" ht="15" customHeight="1" s="74">
      <c r="B71" s="83" t="inlineStr">
        <is>
          <t xml:space="preserve">   LIVE</t>
        </is>
      </c>
      <c r="D71" s="108">
        <f>CHOOSE($C$6,D68,D69,D70)</f>
        <v/>
      </c>
      <c r="E71" s="108">
        <f>CHOOSE($C$6,E68,E69,E70)</f>
        <v/>
      </c>
      <c r="F71" s="108">
        <f>CHOOSE($C$6,F68,F69,F70)</f>
        <v/>
      </c>
      <c r="G71" s="108">
        <f>CHOOSE($C$6,G68,G69,G70)</f>
        <v/>
      </c>
      <c r="H71" s="108">
        <f>CHOOSE($C$6,H68,H69,H70)</f>
        <v/>
      </c>
      <c r="I71" s="108">
        <f>CHOOSE($C$6,I68,I69,I70)</f>
        <v/>
      </c>
      <c r="J71" s="108">
        <f>CHOOSE($C$6,J68,J69,J70)</f>
        <v/>
      </c>
      <c r="K71" s="108">
        <f>CHOOSE($C$6,K68,K69,K70)</f>
        <v/>
      </c>
      <c r="L71" s="108">
        <f>CHOOSE($C$6,L68,L69,L70)</f>
        <v/>
      </c>
      <c r="M71" s="108">
        <f>CHOOSE($C$6,M68,M69,M70)</f>
        <v/>
      </c>
      <c r="N71" s="108">
        <f>CHOOSE($C$6,N68,N69,N70)</f>
        <v/>
      </c>
    </row>
    <row r="73" ht="15" customHeight="1" s="74">
      <c r="B73" s="83" t="inlineStr">
        <is>
          <t>Post-conflict / clearance programme-years (count, at maturity value)</t>
        </is>
      </c>
      <c r="C73" s="76" t="inlineStr">
        <is>
          <t>ASSUMPTION: entered via acquired large-calibre capability and allied partners.</t>
        </is>
      </c>
    </row>
    <row r="74" ht="15" customHeight="1" s="74">
      <c r="B74" s="105" t="inlineStr">
        <is>
          <t xml:space="preserve">   Downside</t>
        </is>
      </c>
      <c r="D74" s="107" t="n">
        <v>0</v>
      </c>
      <c r="E74" s="107" t="n">
        <v>0</v>
      </c>
      <c r="F74" s="107" t="n">
        <v>0</v>
      </c>
      <c r="G74" s="107" t="n">
        <v>0</v>
      </c>
      <c r="H74" s="107" t="n">
        <v>0</v>
      </c>
      <c r="I74" s="107" t="n">
        <v>0</v>
      </c>
      <c r="J74" s="107" t="n">
        <v>1</v>
      </c>
      <c r="K74" s="107" t="n">
        <v>1</v>
      </c>
      <c r="L74" s="107" t="n">
        <v>2</v>
      </c>
      <c r="M74" s="107" t="n">
        <v>2</v>
      </c>
      <c r="N74" s="107" t="n">
        <v>2</v>
      </c>
    </row>
    <row r="75" ht="15" customHeight="1" s="74">
      <c r="B75" s="105" t="inlineStr">
        <is>
          <t xml:space="preserve">   Base</t>
        </is>
      </c>
      <c r="D75" s="107" t="n">
        <v>0</v>
      </c>
      <c r="E75" s="107" t="n">
        <v>0</v>
      </c>
      <c r="F75" s="107" t="n">
        <v>0</v>
      </c>
      <c r="G75" s="107" t="n">
        <v>1</v>
      </c>
      <c r="H75" s="107" t="n">
        <v>1</v>
      </c>
      <c r="I75" s="107" t="n">
        <v>2</v>
      </c>
      <c r="J75" s="107" t="n">
        <v>2</v>
      </c>
      <c r="K75" s="107" t="n">
        <v>3</v>
      </c>
      <c r="L75" s="107" t="n">
        <v>3</v>
      </c>
      <c r="M75" s="107" t="n">
        <v>4</v>
      </c>
      <c r="N75" s="107" t="n">
        <v>4</v>
      </c>
    </row>
    <row r="76" ht="15" customHeight="1" s="74">
      <c r="B76" s="105" t="inlineStr">
        <is>
          <t xml:space="preserve">   Upside</t>
        </is>
      </c>
      <c r="D76" s="107" t="n">
        <v>0</v>
      </c>
      <c r="E76" s="107" t="n">
        <v>0</v>
      </c>
      <c r="F76" s="107" t="n">
        <v>1</v>
      </c>
      <c r="G76" s="107" t="n">
        <v>1</v>
      </c>
      <c r="H76" s="107" t="n">
        <v>2</v>
      </c>
      <c r="I76" s="107" t="n">
        <v>3</v>
      </c>
      <c r="J76" s="107" t="n">
        <v>4</v>
      </c>
      <c r="K76" s="107" t="n">
        <v>5</v>
      </c>
      <c r="L76" s="107" t="n">
        <v>5</v>
      </c>
      <c r="M76" s="107" t="n">
        <v>6</v>
      </c>
      <c r="N76" s="107" t="n">
        <v>6</v>
      </c>
    </row>
    <row r="77" ht="15" customHeight="1" s="74">
      <c r="B77" s="83" t="inlineStr">
        <is>
          <t xml:space="preserve">   LIVE</t>
        </is>
      </c>
      <c r="D77" s="108">
        <f>CHOOSE($C$6,D74,D75,D76)</f>
        <v/>
      </c>
      <c r="E77" s="108">
        <f>CHOOSE($C$6,E74,E75,E76)</f>
        <v/>
      </c>
      <c r="F77" s="108">
        <f>CHOOSE($C$6,F74,F75,F76)</f>
        <v/>
      </c>
      <c r="G77" s="108">
        <f>CHOOSE($C$6,G74,G75,G76)</f>
        <v/>
      </c>
      <c r="H77" s="108">
        <f>CHOOSE($C$6,H74,H75,H76)</f>
        <v/>
      </c>
      <c r="I77" s="108">
        <f>CHOOSE($C$6,I74,I75,I76)</f>
        <v/>
      </c>
      <c r="J77" s="108">
        <f>CHOOSE($C$6,J74,J75,J76)</f>
        <v/>
      </c>
      <c r="K77" s="108">
        <f>CHOOSE($C$6,K74,K75,K76)</f>
        <v/>
      </c>
      <c r="L77" s="108">
        <f>CHOOSE($C$6,L74,L75,L76)</f>
        <v/>
      </c>
      <c r="M77" s="108">
        <f>CHOOSE($C$6,M74,M75,M76)</f>
        <v/>
      </c>
      <c r="N77" s="108">
        <f>CHOOSE($C$6,N74,N75,N76)</f>
        <v/>
      </c>
    </row>
    <row r="79" ht="15" customHeight="1" s="74">
      <c r="B79" s="83" t="inlineStr">
        <is>
          <t>Corporate platform cost — Base schedule (USD M)</t>
        </is>
      </c>
      <c r="C79" s="76" t="inlineStr">
        <is>
          <t>ASSUMPTION: leadership, M&amp;A, finance, QHSE/compliance, BD. Scenario applies the scale factor in C.</t>
        </is>
      </c>
    </row>
    <row r="80" ht="15" customHeight="1" s="74">
      <c r="B80" s="105" t="inlineStr">
        <is>
          <t xml:space="preserve">   Downside</t>
        </is>
      </c>
      <c r="D80" s="109" t="n">
        <v>1.2</v>
      </c>
      <c r="E80" s="109" t="n">
        <v>2</v>
      </c>
      <c r="F80" s="109" t="n">
        <v>3</v>
      </c>
      <c r="G80" s="109" t="n">
        <v>4</v>
      </c>
      <c r="H80" s="109" t="n">
        <v>5</v>
      </c>
      <c r="I80" s="109" t="n">
        <v>6</v>
      </c>
      <c r="J80" s="109" t="n">
        <v>7</v>
      </c>
      <c r="K80" s="109" t="n">
        <v>8</v>
      </c>
      <c r="L80" s="109" t="n">
        <v>9</v>
      </c>
      <c r="M80" s="109" t="n">
        <v>10</v>
      </c>
      <c r="N80" s="109" t="n">
        <v>11</v>
      </c>
    </row>
    <row r="81" ht="15" customHeight="1" s="74">
      <c r="B81" s="105" t="inlineStr">
        <is>
          <t xml:space="preserve">   Base</t>
        </is>
      </c>
      <c r="D81" s="109" t="n">
        <v>1.2</v>
      </c>
      <c r="E81" s="109" t="n">
        <v>2</v>
      </c>
      <c r="F81" s="109" t="n">
        <v>3</v>
      </c>
      <c r="G81" s="109" t="n">
        <v>4</v>
      </c>
      <c r="H81" s="109" t="n">
        <v>5</v>
      </c>
      <c r="I81" s="109" t="n">
        <v>6</v>
      </c>
      <c r="J81" s="109" t="n">
        <v>7</v>
      </c>
      <c r="K81" s="109" t="n">
        <v>8</v>
      </c>
      <c r="L81" s="109" t="n">
        <v>9</v>
      </c>
      <c r="M81" s="109" t="n">
        <v>10</v>
      </c>
      <c r="N81" s="109" t="n">
        <v>11</v>
      </c>
    </row>
    <row r="82" ht="15" customHeight="1" s="74">
      <c r="B82" s="105" t="inlineStr">
        <is>
          <t xml:space="preserve">   Upside</t>
        </is>
      </c>
      <c r="D82" s="109" t="n">
        <v>1.2</v>
      </c>
      <c r="E82" s="109" t="n">
        <v>2</v>
      </c>
      <c r="F82" s="109" t="n">
        <v>3</v>
      </c>
      <c r="G82" s="109" t="n">
        <v>4</v>
      </c>
      <c r="H82" s="109" t="n">
        <v>5</v>
      </c>
      <c r="I82" s="109" t="n">
        <v>6</v>
      </c>
      <c r="J82" s="109" t="n">
        <v>7</v>
      </c>
      <c r="K82" s="109" t="n">
        <v>8</v>
      </c>
      <c r="L82" s="109" t="n">
        <v>9</v>
      </c>
      <c r="M82" s="109" t="n">
        <v>10</v>
      </c>
      <c r="N82" s="109" t="n">
        <v>11</v>
      </c>
    </row>
    <row r="83" ht="15" customHeight="1" s="74">
      <c r="B83" s="83" t="inlineStr">
        <is>
          <t xml:space="preserve">   LIVE</t>
        </is>
      </c>
      <c r="D83" s="110">
        <f>CHOOSE($C$6,D80,D81,D82)</f>
        <v/>
      </c>
      <c r="E83" s="110">
        <f>CHOOSE($C$6,E80,E81,E82)</f>
        <v/>
      </c>
      <c r="F83" s="110">
        <f>CHOOSE($C$6,F80,F81,F82)</f>
        <v/>
      </c>
      <c r="G83" s="110">
        <f>CHOOSE($C$6,G80,G81,G82)</f>
        <v/>
      </c>
      <c r="H83" s="110">
        <f>CHOOSE($C$6,H80,H81,H82)</f>
        <v/>
      </c>
      <c r="I83" s="110">
        <f>CHOOSE($C$6,I80,I81,I82)</f>
        <v/>
      </c>
      <c r="J83" s="110">
        <f>CHOOSE($C$6,J80,J81,J82)</f>
        <v/>
      </c>
      <c r="K83" s="110">
        <f>CHOOSE($C$6,K80,K81,K82)</f>
        <v/>
      </c>
      <c r="L83" s="110">
        <f>CHOOSE($C$6,L80,L81,L82)</f>
        <v/>
      </c>
      <c r="M83" s="110">
        <f>CHOOSE($C$6,M80,M81,M82)</f>
        <v/>
      </c>
      <c r="N83" s="110">
        <f>CHOOSE($C$6,N80,N81,N82)</f>
        <v/>
      </c>
    </row>
    <row r="85" ht="15" customHeight="1" s="74">
      <c r="B85" s="83" t="inlineStr">
        <is>
          <t>Development &amp; partnership programmes — Base schedule (USD M)</t>
        </is>
      </c>
      <c r="C85" s="76" t="inlineStr">
        <is>
          <t>ASSUMPTION: calibre-ladder development, certification/custody data layer, robotics &amp; university partnerships; scaled by dev_scale.</t>
        </is>
      </c>
    </row>
    <row r="86" ht="15" customHeight="1" s="74">
      <c r="B86" s="105" t="inlineStr">
        <is>
          <t xml:space="preserve">   Downside</t>
        </is>
      </c>
      <c r="D86" s="109" t="n">
        <v>0.3</v>
      </c>
      <c r="E86" s="109" t="n">
        <v>0.8</v>
      </c>
      <c r="F86" s="109" t="n">
        <v>1</v>
      </c>
      <c r="G86" s="109" t="n">
        <v>1.5</v>
      </c>
      <c r="H86" s="109" t="n">
        <v>2</v>
      </c>
      <c r="I86" s="109" t="n">
        <v>2</v>
      </c>
      <c r="J86" s="109" t="n">
        <v>2.5</v>
      </c>
      <c r="K86" s="109" t="n">
        <v>2.5</v>
      </c>
      <c r="L86" s="109" t="n">
        <v>3</v>
      </c>
      <c r="M86" s="109" t="n">
        <v>3</v>
      </c>
      <c r="N86" s="109" t="n">
        <v>3</v>
      </c>
    </row>
    <row r="87" ht="15" customHeight="1" s="74">
      <c r="B87" s="105" t="inlineStr">
        <is>
          <t xml:space="preserve">   Base</t>
        </is>
      </c>
      <c r="D87" s="109" t="n">
        <v>0.3</v>
      </c>
      <c r="E87" s="109" t="n">
        <v>0.8</v>
      </c>
      <c r="F87" s="109" t="n">
        <v>1</v>
      </c>
      <c r="G87" s="109" t="n">
        <v>1.5</v>
      </c>
      <c r="H87" s="109" t="n">
        <v>2</v>
      </c>
      <c r="I87" s="109" t="n">
        <v>2</v>
      </c>
      <c r="J87" s="109" t="n">
        <v>2.5</v>
      </c>
      <c r="K87" s="109" t="n">
        <v>2.5</v>
      </c>
      <c r="L87" s="109" t="n">
        <v>3</v>
      </c>
      <c r="M87" s="109" t="n">
        <v>3</v>
      </c>
      <c r="N87" s="109" t="n">
        <v>3</v>
      </c>
    </row>
    <row r="88" ht="15" customHeight="1" s="74">
      <c r="B88" s="105" t="inlineStr">
        <is>
          <t xml:space="preserve">   Upside</t>
        </is>
      </c>
      <c r="D88" s="109" t="n">
        <v>0.3</v>
      </c>
      <c r="E88" s="109" t="n">
        <v>0.8</v>
      </c>
      <c r="F88" s="109" t="n">
        <v>1</v>
      </c>
      <c r="G88" s="109" t="n">
        <v>1.5</v>
      </c>
      <c r="H88" s="109" t="n">
        <v>2</v>
      </c>
      <c r="I88" s="109" t="n">
        <v>2</v>
      </c>
      <c r="J88" s="109" t="n">
        <v>2.5</v>
      </c>
      <c r="K88" s="109" t="n">
        <v>2.5</v>
      </c>
      <c r="L88" s="109" t="n">
        <v>3</v>
      </c>
      <c r="M88" s="109" t="n">
        <v>3</v>
      </c>
      <c r="N88" s="109" t="n">
        <v>3</v>
      </c>
    </row>
    <row r="89" ht="15" customHeight="1" s="74">
      <c r="B89" s="83" t="inlineStr">
        <is>
          <t xml:space="preserve">   LIVE</t>
        </is>
      </c>
      <c r="D89" s="110">
        <f>CHOOSE($C$6,D86,D87,D88)</f>
        <v/>
      </c>
      <c r="E89" s="110">
        <f>CHOOSE($C$6,E86,E87,E88)</f>
        <v/>
      </c>
      <c r="F89" s="110">
        <f>CHOOSE($C$6,F86,F87,F88)</f>
        <v/>
      </c>
      <c r="G89" s="110">
        <f>CHOOSE($C$6,G86,G87,G88)</f>
        <v/>
      </c>
      <c r="H89" s="110">
        <f>CHOOSE($C$6,H86,H87,H88)</f>
        <v/>
      </c>
      <c r="I89" s="110">
        <f>CHOOSE($C$6,I86,I87,I88)</f>
        <v/>
      </c>
      <c r="J89" s="110">
        <f>CHOOSE($C$6,J86,J87,J88)</f>
        <v/>
      </c>
      <c r="K89" s="110">
        <f>CHOOSE($C$6,K86,K87,K88)</f>
        <v/>
      </c>
      <c r="L89" s="110">
        <f>CHOOSE($C$6,L86,L87,L88)</f>
        <v/>
      </c>
      <c r="M89" s="110">
        <f>CHOOSE($C$6,M86,M87,M88)</f>
        <v/>
      </c>
      <c r="N89" s="110">
        <f>CHOOSE($C$6,N86,N87,N88)</f>
        <v/>
      </c>
    </row>
    <row r="91" ht="15" customHeight="1" s="74">
      <c r="B91" s="73" t="inlineStr">
        <is>
          <t>I. Adjusted EBITDA margin — target override (Y1–Y10; replaces bottom-up corporate-cost build)</t>
        </is>
      </c>
      <c r="C91" s="73" t="inlineStr">
        <is>
          <t>ASSUMPTION (Tom, 3 Sep 2026): blended Adjusted EBITDA margin reaches 30% by Year 5, then grows to 35% by Year 10. Implemented as a direct margin target; corporate platform cost (P&amp;L &amp; Capital row 19) is solved residually each year so Adjusted EBITDA / Revenue equals this target exactly. Year 0 is unaffected (pre-scale organic base).</t>
        </is>
      </c>
    </row>
    <row r="92" ht="15" customHeight="1" s="74">
      <c r="B92" s="73" t="inlineStr">
        <is>
          <t xml:space="preserve">   Downside</t>
        </is>
      </c>
      <c r="E92" s="73" t="n">
        <v>-0.05</v>
      </c>
      <c r="F92" s="73" t="n">
        <v>0.025</v>
      </c>
      <c r="G92" s="73" t="n">
        <v>0.1</v>
      </c>
      <c r="H92" s="73" t="n">
        <v>0.175</v>
      </c>
      <c r="I92" s="73" t="n">
        <v>0.25</v>
      </c>
      <c r="J92" s="73" t="n">
        <v>0.26</v>
      </c>
      <c r="K92" s="73" t="n">
        <v>0.27</v>
      </c>
      <c r="L92" s="73" t="n">
        <v>0.28</v>
      </c>
      <c r="M92" s="73" t="n">
        <v>0.29</v>
      </c>
      <c r="N92" s="73" t="n">
        <v>0.3</v>
      </c>
    </row>
    <row r="93" ht="15" customHeight="1" s="74">
      <c r="B93" s="73" t="inlineStr">
        <is>
          <t xml:space="preserve">   Base</t>
        </is>
      </c>
      <c r="E93" s="73" t="n">
        <v>0</v>
      </c>
      <c r="F93" s="73" t="n">
        <v>0.075</v>
      </c>
      <c r="G93" s="73" t="n">
        <v>0.15</v>
      </c>
      <c r="H93" s="73" t="n">
        <v>0.225</v>
      </c>
      <c r="I93" s="73" t="n">
        <v>0.3</v>
      </c>
      <c r="J93" s="73" t="n">
        <v>0.31</v>
      </c>
      <c r="K93" s="73" t="n">
        <v>0.32</v>
      </c>
      <c r="L93" s="73" t="n">
        <v>0.33</v>
      </c>
      <c r="M93" s="73" t="n">
        <v>0.34</v>
      </c>
      <c r="N93" s="73" t="n">
        <v>0.35</v>
      </c>
    </row>
    <row r="94" ht="15" customHeight="1" s="74">
      <c r="B94" s="73" t="inlineStr">
        <is>
          <t xml:space="preserve">   Upside</t>
        </is>
      </c>
      <c r="E94" s="73" t="n">
        <v>0.05</v>
      </c>
      <c r="F94" s="73" t="n">
        <v>0.125</v>
      </c>
      <c r="G94" s="73" t="n">
        <v>0.2</v>
      </c>
      <c r="H94" s="73" t="n">
        <v>0.275</v>
      </c>
      <c r="I94" s="73" t="n">
        <v>0.35</v>
      </c>
      <c r="J94" s="73" t="n">
        <v>0.36</v>
      </c>
      <c r="K94" s="73" t="n">
        <v>0.37</v>
      </c>
      <c r="L94" s="73" t="n">
        <v>0.38</v>
      </c>
      <c r="M94" s="73" t="n">
        <v>0.39</v>
      </c>
      <c r="N94" s="73" t="n">
        <v>0.4</v>
      </c>
    </row>
    <row r="95" ht="15" customHeight="1" s="74">
      <c r="B95" s="73" t="inlineStr">
        <is>
          <t xml:space="preserve">   LIVE</t>
        </is>
      </c>
      <c r="E95" s="73">
        <f>CHOOSE($C$6,E92,E93,E94)</f>
        <v/>
      </c>
      <c r="F95" s="73">
        <f>CHOOSE($C$6,F92,F93,F94)</f>
        <v/>
      </c>
      <c r="G95" s="73">
        <f>CHOOSE($C$6,G92,G93,G94)</f>
        <v/>
      </c>
      <c r="H95" s="73">
        <f>CHOOSE($C$6,H92,H93,H94)</f>
        <v/>
      </c>
      <c r="I95" s="73">
        <f>CHOOSE($C$6,I92,I93,I94)</f>
        <v/>
      </c>
      <c r="J95" s="73">
        <f>CHOOSE($C$6,J92,J93,J94)</f>
        <v/>
      </c>
      <c r="K95" s="73">
        <f>CHOOSE($C$6,K92,K93,K94)</f>
        <v/>
      </c>
      <c r="L95" s="73">
        <f>CHOOSE($C$6,L92,L93,L94)</f>
        <v/>
      </c>
      <c r="M95" s="73">
        <f>CHOOSE($C$6,M92,M93,M94)</f>
        <v/>
      </c>
      <c r="N95" s="73">
        <f>CHOOSE($C$6,N92,N93,N94)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tabColor rgb="FF788274"/>
    <outlinePr summaryBelow="1" summaryRight="1"/>
    <pageSetUpPr fitToPage="0"/>
  </sheetPr>
  <dimension ref="B2:G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6"/>
    <col width="60" customWidth="1" style="73" min="7" max="7"/>
    <col width="11" customWidth="1" style="73" min="8" max="14"/>
  </cols>
  <sheetData>
    <row r="2" ht="17.25" customHeight="1" s="74">
      <c r="B2" s="75" t="inlineStr">
        <is>
          <t>Baseline — actual financials (compiled, unaudited) and the FY2026 placeholder</t>
        </is>
      </c>
    </row>
    <row r="3" ht="15" customHeight="1" s="74">
      <c r="B3" s="76" t="inlineStr">
        <is>
          <t>Source: compiled financial statements for TWB Designs Inc. and Canadian Ammunition Disposal Services Inc. (CADS), FY2023–FY2025, as reproduced in the August 2026 supporting memo. CAD converted at Bank of Canada annual averages.</t>
        </is>
      </c>
    </row>
    <row r="6" ht="15" customHeight="1" s="74">
      <c r="B6" s="85" t="inlineStr">
        <is>
          <t>Combined income statement (CAD)</t>
        </is>
      </c>
      <c r="C6" s="85" t="inlineStr">
        <is>
          <t>CAD</t>
        </is>
      </c>
      <c r="D6" s="85" t="inlineStr">
        <is>
          <t>FY2023</t>
        </is>
      </c>
      <c r="E6" s="85" t="inlineStr">
        <is>
          <t>FY2024</t>
        </is>
      </c>
      <c r="F6" s="85" t="inlineStr">
        <is>
          <t>FY2025</t>
        </is>
      </c>
      <c r="G6" s="85" t="inlineStr">
        <is>
          <t>Note</t>
        </is>
      </c>
    </row>
    <row r="7" ht="15" customHeight="1" s="74">
      <c r="B7" s="79" t="inlineStr">
        <is>
          <t>CADS revenue (destruction services)</t>
        </is>
      </c>
      <c r="D7" s="107" t="n">
        <v>901305</v>
      </c>
      <c r="E7" s="107" t="n">
        <v>847761</v>
      </c>
      <c r="F7" s="107" t="n">
        <v>720044</v>
      </c>
      <c r="G7" s="76" t="inlineStr">
        <is>
          <t>COMPANY-PROVIDED.</t>
        </is>
      </c>
    </row>
    <row r="8" ht="15" customHeight="1" s="74">
      <c r="B8" s="79" t="inlineStr">
        <is>
          <t>TWB Designs revenue (equipment sales, lumpy)</t>
        </is>
      </c>
      <c r="D8" s="107" t="n">
        <v>64425</v>
      </c>
      <c r="E8" s="107" t="n">
        <v>863500</v>
      </c>
      <c r="F8" s="107" t="n">
        <v>142812</v>
      </c>
      <c r="G8" s="76" t="inlineStr">
        <is>
          <t>COMPANY-PROVIDED. FY2024 includes one equipment sale.</t>
        </is>
      </c>
    </row>
    <row r="9" ht="15" customHeight="1" s="74">
      <c r="B9" s="83" t="inlineStr">
        <is>
          <t>Combined revenue</t>
        </is>
      </c>
      <c r="D9" s="108">
        <f>D7+D8</f>
        <v/>
      </c>
      <c r="E9" s="108">
        <f>E7+E8</f>
        <v/>
      </c>
      <c r="F9" s="108">
        <f>F7+F8</f>
        <v/>
      </c>
      <c r="G9" s="76" t="inlineStr">
        <is>
          <t>Sum. Note: CADS pays TWB a CAD 60K/yr intercompany fee; simple sum overstates consolidated revenue by ~60K.</t>
        </is>
      </c>
    </row>
    <row r="10" ht="15" customHeight="1" s="74">
      <c r="B10" s="79" t="inlineStr">
        <is>
          <t>Combined gross profit</t>
        </is>
      </c>
      <c r="D10" s="107" t="n">
        <v>759474</v>
      </c>
      <c r="E10" s="107" t="n">
        <v>760306</v>
      </c>
      <c r="F10" s="107" t="n">
        <v>569099</v>
      </c>
      <c r="G10" s="76" t="inlineStr">
        <is>
          <t>COMPANY-PROVIDED.</t>
        </is>
      </c>
    </row>
    <row r="11" ht="15" customHeight="1" s="74">
      <c r="B11" s="79" t="inlineStr">
        <is>
          <t>Combined EBITDA (approx.)</t>
        </is>
      </c>
      <c r="D11" s="107" t="n">
        <v>419000</v>
      </c>
      <c r="E11" s="107" t="n">
        <v>492000</v>
      </c>
      <c r="F11" s="107" t="n">
        <v>235000</v>
      </c>
      <c r="G11" s="76" t="inlineStr">
        <is>
          <t>COMPANY-PROVIDED (approximate). FY2024 net income included a one-time CAD 265,874 FX gain.</t>
        </is>
      </c>
    </row>
    <row r="12" ht="15" customHeight="1" s="74">
      <c r="B12" s="79" t="inlineStr">
        <is>
          <t>Combined net income</t>
        </is>
      </c>
      <c r="D12" s="107" t="n">
        <v>337094</v>
      </c>
      <c r="E12" s="107" t="n">
        <v>589471</v>
      </c>
      <c r="F12" s="107" t="n">
        <v>125174</v>
      </c>
      <c r="G12" s="76" t="inlineStr">
        <is>
          <t>COMPANY-PROVIDED.</t>
        </is>
      </c>
    </row>
    <row r="13" ht="15" customHeight="1" s="74">
      <c r="B13" s="79" t="inlineStr">
        <is>
          <t>EBITDA margin</t>
        </is>
      </c>
      <c r="D13" s="111">
        <f>IF(D9=0,0,D11/D9)</f>
        <v/>
      </c>
      <c r="E13" s="111">
        <f>IF(E9=0,0,E11/E9)</f>
        <v/>
      </c>
      <c r="F13" s="111">
        <f>IF(F9=0,0,F11/F9)</f>
        <v/>
      </c>
    </row>
    <row r="15" ht="15" customHeight="1" s="74">
      <c r="B15" s="83" t="inlineStr">
        <is>
          <t>Bank of Canada annual average CAD per USD</t>
        </is>
      </c>
      <c r="D15" s="112" t="n">
        <v>1.3497</v>
      </c>
      <c r="E15" s="112" t="n">
        <v>1.3698</v>
      </c>
      <c r="F15" s="112" t="n">
        <v>1.3978</v>
      </c>
      <c r="G15" s="113" t="inlineStr">
        <is>
          <t>https://www.bankofcanada.ca/rates/exchange/annual-average-exchange-rates/</t>
        </is>
      </c>
    </row>
    <row r="17" ht="15" customHeight="1" s="74">
      <c r="B17" s="85" t="inlineStr">
        <is>
          <t>Combined income statement (USD M)</t>
        </is>
      </c>
      <c r="C17" s="85" t="inlineStr">
        <is>
          <t>USD M</t>
        </is>
      </c>
      <c r="D17" s="85" t="inlineStr">
        <is>
          <t>FY2023</t>
        </is>
      </c>
      <c r="E17" s="85" t="inlineStr">
        <is>
          <t>FY2024</t>
        </is>
      </c>
      <c r="F17" s="85" t="inlineStr">
        <is>
          <t>FY2025</t>
        </is>
      </c>
    </row>
    <row r="18" ht="15" customHeight="1" s="74">
      <c r="B18" s="79" t="inlineStr">
        <is>
          <t>Destruction services revenue</t>
        </is>
      </c>
      <c r="D18" s="114">
        <f>D7/D$15/1000000</f>
        <v/>
      </c>
      <c r="E18" s="114">
        <f>E7/E$15/1000000</f>
        <v/>
      </c>
      <c r="F18" s="114">
        <f>F7/F$15/1000000</f>
        <v/>
      </c>
    </row>
    <row r="19" ht="15" customHeight="1" s="74">
      <c r="B19" s="79" t="inlineStr">
        <is>
          <t>Equipment sales revenue</t>
        </is>
      </c>
      <c r="D19" s="114">
        <f>D8/D$15/1000000</f>
        <v/>
      </c>
      <c r="E19" s="114">
        <f>E8/E$15/1000000</f>
        <v/>
      </c>
      <c r="F19" s="114">
        <f>F8/F$15/1000000</f>
        <v/>
      </c>
    </row>
    <row r="20" ht="15" customHeight="1" s="74">
      <c r="B20" s="83" t="inlineStr">
        <is>
          <t>Combined revenue</t>
        </is>
      </c>
      <c r="D20" s="110">
        <f>D9/D$15/1000000</f>
        <v/>
      </c>
      <c r="E20" s="110">
        <f>E9/E$15/1000000</f>
        <v/>
      </c>
      <c r="F20" s="110">
        <f>F9/F$15/1000000</f>
        <v/>
      </c>
    </row>
    <row r="21" ht="15" customHeight="1" s="74">
      <c r="B21" s="83" t="inlineStr">
        <is>
          <t>Combined EBITDA</t>
        </is>
      </c>
      <c r="D21" s="110">
        <f>D11/D$15/1000000</f>
        <v/>
      </c>
      <c r="E21" s="110">
        <f>E11/E$15/1000000</f>
        <v/>
      </c>
      <c r="F21" s="110">
        <f>F11/F$15/1000000</f>
        <v/>
      </c>
    </row>
    <row r="23" ht="15" customHeight="1" s="74">
      <c r="B23" s="85" t="inlineStr">
        <is>
          <t>Balance sheet at 31 Dec 2025 (CAD)</t>
        </is>
      </c>
      <c r="C23" s="85" t="n"/>
      <c r="D23" s="85" t="inlineStr">
        <is>
          <t>CADS</t>
        </is>
      </c>
      <c r="E23" s="85" t="inlineStr">
        <is>
          <t>TWB</t>
        </is>
      </c>
      <c r="F23" s="85" t="inlineStr">
        <is>
          <t>Combined</t>
        </is>
      </c>
    </row>
    <row r="24" ht="15" customHeight="1" s="74">
      <c r="B24" s="79" t="inlineStr">
        <is>
          <t>Cash</t>
        </is>
      </c>
      <c r="D24" s="107" t="n">
        <v>139667</v>
      </c>
      <c r="E24" s="107" t="n">
        <v>59431</v>
      </c>
      <c r="F24" s="115">
        <f>D24+E24</f>
        <v/>
      </c>
    </row>
    <row r="25" ht="15" customHeight="1" s="74">
      <c r="B25" s="79" t="inlineStr">
        <is>
          <t>Total assets</t>
        </is>
      </c>
      <c r="D25" s="107" t="n">
        <v>509193</v>
      </c>
      <c r="E25" s="107" t="n">
        <v>118825</v>
      </c>
      <c r="F25" s="115">
        <f>D25+E25</f>
        <v/>
      </c>
    </row>
    <row r="26" ht="15" customHeight="1" s="74">
      <c r="B26" s="79" t="inlineStr">
        <is>
          <t>Total liabilities</t>
        </is>
      </c>
      <c r="D26" s="107" t="n">
        <v>42890</v>
      </c>
      <c r="E26" s="107" t="n">
        <v>4799</v>
      </c>
      <c r="F26" s="115">
        <f>D26+E26</f>
        <v/>
      </c>
    </row>
    <row r="27" ht="15" customHeight="1" s="74">
      <c r="B27" s="79" t="inlineStr">
        <is>
          <t>Book value (equity)</t>
        </is>
      </c>
      <c r="D27" s="107" t="n">
        <v>466303</v>
      </c>
      <c r="E27" s="107" t="n">
        <v>114026</v>
      </c>
      <c r="F27" s="115">
        <f>D27+E27</f>
        <v/>
      </c>
    </row>
    <row r="28" ht="15" customHeight="1" s="74">
      <c r="B28" s="79" t="inlineStr">
        <is>
          <t>Interest-bearing debt</t>
        </is>
      </c>
      <c r="F28" s="107" t="n">
        <v>0</v>
      </c>
    </row>
    <row r="30" ht="15" customHeight="1" s="74">
      <c r="B30" s="85" t="inlineStr">
        <is>
          <t>FY2026 starting point used by the model (USD M)</t>
        </is>
      </c>
    </row>
    <row r="31" ht="15" customHeight="1" s="74">
      <c r="B31" s="83" t="inlineStr">
        <is>
          <t>FY2026 destruction-services revenue estimate — PLACEHOLDER</t>
        </is>
      </c>
      <c r="D31" s="103">
        <f>F18</f>
        <v/>
      </c>
      <c r="G31" s="76" t="inlineStr">
        <is>
          <t>Overwrite with the FY2026 estimate when available (Tom, 1 Sep 2026: leave as a marked placeholder).</t>
        </is>
      </c>
    </row>
    <row r="32" ht="15" customHeight="1" s="74">
      <c r="B32" s="79" t="inlineStr">
        <is>
          <t>FY2026 equipment sales — PLACEHOLDER (units, valued at Inputs sale price)</t>
        </is>
      </c>
      <c r="D32" s="116" t="n">
        <v>0</v>
      </c>
    </row>
    <row r="33" ht="15" customHeight="1" s="74">
      <c r="B33" s="79" t="inlineStr">
        <is>
          <t>Opening cash (USD M, 31 Dec 2025)</t>
        </is>
      </c>
      <c r="D33" s="114">
        <f>F21/F15/1000000</f>
        <v/>
      </c>
    </row>
    <row r="35" ht="42" customHeight="1" s="74">
      <c r="B35" s="89" t="inlineStr">
        <is>
          <t>Note: the deck does not present current revenue or EBITDA (per the brief). The memo discloses this baseline in full. These are compilation engagements — no assurance is provided; diligence requires bank statements, HST filings, AR ageing and customer contracts.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tabColor rgb="FF788274"/>
    <outlinePr summaryBelow="1" summaryRight="1"/>
    <pageSetUpPr fitToPage="0"/>
  </sheetPr>
  <dimension ref="B2:N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6"/>
    <col width="70" customWidth="1" style="73" min="7" max="7"/>
    <col width="11" customWidth="1" style="73" min="8" max="14"/>
  </cols>
  <sheetData>
    <row r="2" ht="17.25" customHeight="1" s="74">
      <c r="B2" s="75" t="inlineStr">
        <is>
          <t>Market construction — TAM / SAM / SOM (USD M per year, 2026)</t>
        </is>
      </c>
    </row>
    <row r="3" ht="15" customHeight="1" s="74">
      <c r="B3" s="76" t="inlineStr">
        <is>
          <t>"Our construction": no analyst covers munitions end-of-life. Every layer states whether it is SOURCED or an ASSUMPTION. SOM is the model's own Year-5 revenue, not a top-down share.</t>
        </is>
      </c>
    </row>
    <row r="6" ht="15" customHeight="1" s="74">
      <c r="B6" s="85" t="inlineStr">
        <is>
          <t>Layer</t>
        </is>
      </c>
      <c r="C6" s="85" t="inlineStr">
        <is>
          <t>Anchor (USD M)</t>
        </is>
      </c>
      <c r="D6" s="85" t="inlineStr">
        <is>
          <t>Factor</t>
        </is>
      </c>
      <c r="E6" s="85" t="inlineStr">
        <is>
          <t>Included (USD M)</t>
        </is>
      </c>
      <c r="F6" s="85" t="inlineStr">
        <is>
          <t>Growth /yr</t>
        </is>
      </c>
      <c r="G6" s="85" t="inlineStr">
        <is>
          <t>Basis</t>
        </is>
      </c>
    </row>
    <row r="7" ht="39.75" customHeight="1" s="74">
      <c r="B7" s="78" t="inlineStr">
        <is>
          <t>1a. US Army conventional munitions demil budget line (4099EP1700), FY2026</t>
        </is>
      </c>
      <c r="C7" s="109" t="n">
        <v>155.05</v>
      </c>
      <c r="D7" s="93" t="n">
        <v>1</v>
      </c>
      <c r="E7" s="114">
        <f>C7*D7</f>
        <v/>
      </c>
      <c r="F7" s="93" t="n">
        <v>0.02</v>
      </c>
      <c r="G7" s="89" t="inlineStr">
        <is>
          <t>SOURCED: FY2027 Army Procurement of Ammunition J-book — $155.050M FY2026, $161.179M FY2027. Growth ASSUMPTION 2%.</t>
        </is>
      </c>
    </row>
    <row r="8" ht="39.75" customHeight="1" s="74">
      <c r="B8" s="78" t="inlineStr">
        <is>
          <t>1b. Other US DoD / federal destruction, disposal and demil services outside the Army line (services, other services, DLA, ranges)</t>
        </is>
      </c>
      <c r="C8" s="109" t="n">
        <v>150</v>
      </c>
      <c r="D8" s="93" t="n">
        <v>1</v>
      </c>
      <c r="E8" s="114">
        <f>C8*D8</f>
        <v/>
      </c>
      <c r="F8" s="93" t="n">
        <v>0.03</v>
      </c>
      <c r="G8" s="89" t="inlineStr">
        <is>
          <t>ASSUMPTION / PLACEHOLDER: no consolidated public figure. Sized at ~1x the Army line. Hardening needed in diligence.</t>
        </is>
      </c>
    </row>
    <row r="9" ht="39.75" customHeight="1" s="74">
      <c r="B9" s="78" t="inlineStr">
        <is>
          <t>1c. Allied national demil &amp; stockpile-destruction budgets (NATO Europe, Canada, Australia, Israel, partners)</t>
        </is>
      </c>
      <c r="C9" s="109" t="n">
        <v>450</v>
      </c>
      <c r="D9" s="93" t="n">
        <v>1</v>
      </c>
      <c r="E9" s="114">
        <f>C9*D9</f>
        <v/>
      </c>
      <c r="F9" s="93" t="n">
        <v>0.05</v>
      </c>
      <c r="G9" s="89" t="inlineStr">
        <is>
          <t>ASSUMPTION: ~3x the US Army line across ~30 allied MoDs; NATO identifies $145bn of munitions requirements (Mar 2026) and Europe doubled spending 2016–25 (SIPRI) — stockpile turnover follows. No published aggregate.</t>
        </is>
      </c>
    </row>
    <row r="10" ht="39.75" customHeight="1" s="74">
      <c r="B10" s="78" t="inlineStr">
        <is>
          <t>1d. Law-enforcement, civil and commercial secure destruction (ammunition, seized property) — North America + Europe</t>
        </is>
      </c>
      <c r="C10" s="109" t="n">
        <v>100</v>
      </c>
      <c r="D10" s="93" t="n">
        <v>1</v>
      </c>
      <c r="E10" s="114">
        <f>C10*D10</f>
        <v/>
      </c>
      <c r="F10" s="93" t="n">
        <v>0.03</v>
      </c>
      <c r="G10" s="89" t="inlineStr">
        <is>
          <t>ASSUMPTION: thousands of agencies with recurring disposal needs; no published aggregate. UN ran two mobile-destruction procurements in 2025 (UNGM).</t>
        </is>
      </c>
    </row>
    <row r="11" ht="39.75" customHeight="1" s="74">
      <c r="B11" s="78" t="inlineStr">
        <is>
          <t>2. Military &amp; LE EOD equipment and services market, global</t>
        </is>
      </c>
      <c r="C11" s="109" t="n">
        <v>8550</v>
      </c>
      <c r="D11" s="93" t="n">
        <v>0.3</v>
      </c>
      <c r="E11" s="114">
        <f>C11*D11</f>
        <v/>
      </c>
      <c r="F11" s="93" t="n">
        <v>0.03</v>
      </c>
      <c r="G11" s="89" t="inlineStr">
        <is>
          <t>SOURCED size: Global Growth Insights $8.55bn (2025), 3.03% CAGR. Service-fit factor 30% is an ASSUMPTION (destruction/disposal services only; excludes robots, PPE, training).</t>
        </is>
      </c>
    </row>
    <row r="12" ht="39.75" customHeight="1" s="74">
      <c r="B12" s="78" t="inlineStr">
        <is>
          <t>3. Humanitarian mine action funding, global</t>
        </is>
      </c>
      <c r="C12" s="109" t="n">
        <v>1070</v>
      </c>
      <c r="D12" s="93" t="n">
        <v>1</v>
      </c>
      <c r="E12" s="114">
        <f>C12*D12</f>
        <v/>
      </c>
      <c r="F12" s="93" t="n">
        <v>0.01</v>
      </c>
      <c r="G12" s="89" t="inlineStr">
        <is>
          <t>SOURCED: Landmine Monitor 2025 — $1.07bn in 2024. Growth held at 1% (funding fell in 2024; 2025 US cuts).</t>
        </is>
      </c>
    </row>
    <row r="13" ht="39.75" customHeight="1" s="74">
      <c r="B13" s="78" t="inlineStr">
        <is>
          <t>4. Sovereign end-of-life facility engineering (design-build of national demil / destruction plants)</t>
        </is>
      </c>
      <c r="C13" s="109" t="n">
        <v>500</v>
      </c>
      <c r="D13" s="93" t="n">
        <v>1</v>
      </c>
      <c r="E13" s="114">
        <f>C13*D13</f>
        <v/>
      </c>
      <c r="F13" s="93" t="n">
        <v>0.05</v>
      </c>
      <c r="G13" s="89" t="inlineStr">
        <is>
          <t>ASSUMPTION / PLACEHOLDER: a handful of national programmes per year at $50–150M each. No published aggregate.</t>
        </is>
      </c>
    </row>
    <row r="14" ht="39.75" customHeight="1" s="74">
      <c r="B14" s="78" t="inlineStr">
        <is>
          <t>5. Recovered materials from destroyed munitions (copper, brass, lead-antimony) sold into secondary markets</t>
        </is>
      </c>
      <c r="C14" s="109" t="n">
        <v>250</v>
      </c>
      <c r="D14" s="93" t="n">
        <v>1</v>
      </c>
      <c r="E14" s="114">
        <f>C14*D14</f>
        <v/>
      </c>
      <c r="F14" s="93" t="n">
        <v>0.03</v>
      </c>
      <c r="G14" s="89" t="inlineStr">
        <is>
          <t>ASSUMPTION: ~5% of the destruction-services layers at current metal prices (LME copper ~$14,000/t, lead ~$1,900/t, Sep 2026). Excludes DoD-owned material.</t>
        </is>
      </c>
    </row>
    <row r="15" ht="15" customHeight="1" s="74">
      <c r="B15" s="83" t="inlineStr">
        <is>
          <t>TAM — allied munitions end-of-life, forming annual spend</t>
        </is>
      </c>
      <c r="E15" s="110">
        <f>SUM(E7:E14)</f>
        <v/>
      </c>
      <c r="F15" s="111">
        <f>SUMPRODUCT(E7:E14,F7:F14)/E15</f>
        <v/>
      </c>
    </row>
    <row r="16" ht="15" customHeight="1" s="74">
      <c r="B16" s="79" t="inlineStr">
        <is>
          <t>Episodic layer — Ukraine explosive-hazard management need 2026–2035 (total, not annual)</t>
        </is>
      </c>
      <c r="C16" s="109" t="n">
        <v>27600</v>
      </c>
      <c r="G16" s="76" t="inlineStr">
        <is>
          <t>SOURCED: World Bank / Govt of Ukraine RDNA5, 23 Feb 2026 — supersedes RDNA4 $29.8bn.</t>
        </is>
      </c>
    </row>
    <row r="17" ht="15" customHeight="1" s="74">
      <c r="B17" s="79" t="inlineStr">
        <is>
          <t xml:space="preserve">  → average per year over ten years</t>
        </is>
      </c>
      <c r="E17" s="114">
        <f>C16/10</f>
        <v/>
      </c>
    </row>
    <row r="19" ht="15" customHeight="1" s="74">
      <c r="B19" s="86" t="inlineStr">
        <is>
          <t>SAM — North America + Europe; small-arms-through-artillery destruction, materials recovery, plant engineering (the scope the roadmap assembles)</t>
        </is>
      </c>
      <c r="C19" s="87" t="n"/>
      <c r="D19" s="87" t="n"/>
      <c r="E19" s="87" t="n"/>
      <c r="F19" s="87" t="n"/>
      <c r="G19" s="87" t="n"/>
      <c r="H19" s="87" t="n"/>
      <c r="I19" s="87" t="n"/>
      <c r="J19" s="87" t="n"/>
      <c r="K19" s="87" t="n"/>
      <c r="L19" s="87" t="n"/>
      <c r="M19" s="87" t="n"/>
      <c r="N19" s="87" t="n"/>
    </row>
    <row r="20" ht="15" customHeight="1" s="74">
      <c r="B20" s="79" t="inlineStr">
        <is>
          <t>Geographic reach factor (share of TAM in NA + Europe)</t>
        </is>
      </c>
      <c r="D20" s="93" t="n">
        <v>0.6</v>
      </c>
    </row>
    <row r="21" ht="15" customHeight="1" s="74">
      <c r="B21" s="79" t="inlineStr">
        <is>
          <t>Access factor (excludes G2G-only and prime-only work not open to a platform of this size)</t>
        </is>
      </c>
      <c r="D21" s="93" t="n">
        <v>0.7</v>
      </c>
    </row>
    <row r="22" ht="15" customHeight="1" s="74">
      <c r="B22" s="83" t="inlineStr">
        <is>
          <t>SAM (2026)</t>
        </is>
      </c>
      <c r="E22" s="110">
        <f>E15*D20*D21</f>
        <v/>
      </c>
    </row>
    <row r="24" ht="15" customHeight="1" s="74">
      <c r="B24" s="86" t="inlineStr">
        <is>
          <t>SAM grown to Year 5 and Year 10 at the blended TAM growth rate</t>
        </is>
      </c>
      <c r="C24" s="87" t="n"/>
      <c r="D24" s="87" t="n"/>
      <c r="E24" s="87" t="n"/>
      <c r="F24" s="87" t="n"/>
      <c r="G24" s="87" t="n"/>
      <c r="H24" s="87" t="n"/>
      <c r="I24" s="87" t="n"/>
      <c r="J24" s="87" t="n"/>
      <c r="K24" s="87" t="n"/>
      <c r="L24" s="87" t="n"/>
      <c r="M24" s="87" t="n"/>
      <c r="N24" s="87" t="n"/>
    </row>
    <row r="25" ht="15" customHeight="1" s="74">
      <c r="B25" s="79" t="inlineStr">
        <is>
          <t>SAM Year 5 (2031)</t>
        </is>
      </c>
      <c r="E25" s="114">
        <f>E22*(1+F15)^5</f>
        <v/>
      </c>
    </row>
    <row r="26" ht="15" customHeight="1" s="74">
      <c r="B26" s="79" t="inlineStr">
        <is>
          <t>SAM Year 10 (2036)</t>
        </is>
      </c>
      <c r="E26" s="114">
        <f>E22*(1+F15)^10</f>
        <v/>
      </c>
    </row>
    <row r="28" ht="15" customHeight="1" s="74">
      <c r="B28" s="86" t="inlineStr">
        <is>
          <t>SOM — the model's own revenue, read against SAM</t>
        </is>
      </c>
      <c r="C28" s="87" t="n"/>
      <c r="D28" s="87" t="n"/>
      <c r="E28" s="87" t="n"/>
      <c r="F28" s="87" t="n"/>
      <c r="G28" s="87" t="n"/>
      <c r="H28" s="87" t="n"/>
      <c r="I28" s="87" t="n"/>
      <c r="J28" s="87" t="n"/>
      <c r="K28" s="87" t="n"/>
      <c r="L28" s="87" t="n"/>
      <c r="M28" s="87" t="n"/>
      <c r="N28" s="87" t="n"/>
    </row>
    <row r="29" ht="15" customHeight="1" s="74">
      <c r="B29" s="79" t="inlineStr">
        <is>
          <t>Model revenue Year 5 (2031)</t>
        </is>
      </c>
      <c r="E29" s="117">
        <f>'P&amp;L &amp; Capital'!I12</f>
        <v/>
      </c>
    </row>
    <row r="30" ht="15" customHeight="1" s="74">
      <c r="B30" s="79" t="inlineStr">
        <is>
          <t>Implied share of Year-5 SAM</t>
        </is>
      </c>
      <c r="E30" s="111">
        <f>IF(E25=0,0,E29/E25)</f>
        <v/>
      </c>
    </row>
    <row r="31" ht="15" customHeight="1" s="74">
      <c r="B31" s="79" t="inlineStr">
        <is>
          <t>Model revenue Year 10 (2036)</t>
        </is>
      </c>
      <c r="E31" s="117">
        <f>'P&amp;L &amp; Capital'!N12</f>
        <v/>
      </c>
    </row>
    <row r="32" ht="15" customHeight="1" s="74">
      <c r="B32" s="79" t="inlineStr">
        <is>
          <t>Implied share of Year-10 SAM</t>
        </is>
      </c>
      <c r="E32" s="111">
        <f>IF(E26=0,0,E31/E26)</f>
        <v/>
      </c>
    </row>
    <row r="34" ht="39.75" customHeight="1" s="74">
      <c r="B34" s="89" t="inlineStr">
        <is>
          <t>Discipline: the platform is never scored on tons per year. The original August package's $15bn TAM (which included chemical-weapons demil and a modelled $2.5bn ammunition-demil line with no source) has been replaced by this layered construction.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tabColor rgb="FFCFCDC4"/>
    <outlinePr summaryBelow="1" summaryRight="1"/>
    <pageSetUpPr fitToPage="0"/>
  </sheetPr>
  <dimension ref="B2:N36"/>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3"/>
    <col width="11" customWidth="1" style="73" min="4" max="14"/>
  </cols>
  <sheetData>
    <row r="2" ht="17.25" customHeight="1" s="74">
      <c r="B2" s="75" t="inlineStr">
        <is>
          <t>Organic build — what the platform earns from what it operates and develops (USD M)</t>
        </is>
      </c>
    </row>
    <row r="3" ht="15" customHeight="1" s="74">
      <c r="B3" s="76" t="inlineStr">
        <is>
          <t>Fleet-driven custody destruction services, equipment sales, allied/sovereign programmes, post-conflict programmes, metals recovery. All drivers on Inputs.</t>
        </is>
      </c>
    </row>
    <row r="6" ht="15" customHeight="1" s="74">
      <c r="B6" s="85" t="inlineStr">
        <is>
          <t>USD millions unless noted</t>
        </is>
      </c>
      <c r="C6" s="85" t="inlineStr">
        <is>
          <t>Input / note</t>
        </is>
      </c>
      <c r="D6" s="104" t="n">
        <v>2026</v>
      </c>
      <c r="E6" s="104" t="n">
        <v>2027</v>
      </c>
      <c r="F6" s="104" t="n">
        <v>2028</v>
      </c>
      <c r="G6" s="104" t="n">
        <v>2029</v>
      </c>
      <c r="H6" s="104" t="n">
        <v>2030</v>
      </c>
      <c r="I6" s="104" t="n">
        <v>2031</v>
      </c>
      <c r="J6" s="104" t="n">
        <v>2032</v>
      </c>
      <c r="K6" s="104" t="n">
        <v>2033</v>
      </c>
      <c r="L6" s="104" t="n">
        <v>2034</v>
      </c>
      <c r="M6" s="104" t="n">
        <v>2035</v>
      </c>
      <c r="N6" s="104" t="n">
        <v>2036</v>
      </c>
    </row>
    <row r="7" ht="15" customHeight="1" s="74">
      <c r="B7" s="105" t="inlineStr">
        <is>
          <t>Model year</t>
        </is>
      </c>
      <c r="D7" s="106" t="inlineStr">
        <is>
          <t>Y0</t>
        </is>
      </c>
      <c r="E7" s="106" t="inlineStr">
        <is>
          <t>Y1</t>
        </is>
      </c>
      <c r="F7" s="106" t="inlineStr">
        <is>
          <t>Y2</t>
        </is>
      </c>
      <c r="G7" s="106" t="inlineStr">
        <is>
          <t>Y3</t>
        </is>
      </c>
      <c r="H7" s="106" t="inlineStr">
        <is>
          <t>Y4</t>
        </is>
      </c>
      <c r="I7" s="106" t="inlineStr">
        <is>
          <t>Y5</t>
        </is>
      </c>
      <c r="J7" s="106" t="inlineStr">
        <is>
          <t>Y6</t>
        </is>
      </c>
      <c r="K7" s="106" t="inlineStr">
        <is>
          <t>Y7</t>
        </is>
      </c>
      <c r="L7" s="106" t="inlineStr">
        <is>
          <t>Y8</t>
        </is>
      </c>
      <c r="M7" s="106" t="inlineStr">
        <is>
          <t>Y9</t>
        </is>
      </c>
      <c r="N7" s="106" t="inlineStr">
        <is>
          <t>Y10</t>
        </is>
      </c>
    </row>
    <row r="9" ht="15" customHeight="1" s="74">
      <c r="B9" s="86" t="inlineStr">
        <is>
          <t>A. Custody destruction services — eMACS fleet</t>
        </is>
      </c>
      <c r="C9" s="87" t="n"/>
      <c r="D9" s="87" t="n"/>
      <c r="E9" s="87" t="n"/>
      <c r="F9" s="87" t="n"/>
      <c r="G9" s="87" t="n"/>
      <c r="H9" s="87" t="n"/>
      <c r="I9" s="87" t="n"/>
      <c r="J9" s="87" t="n"/>
      <c r="K9" s="87" t="n"/>
      <c r="L9" s="87" t="n"/>
      <c r="M9" s="87" t="n"/>
      <c r="N9" s="87" t="n"/>
    </row>
    <row r="10" ht="15" customHeight="1" s="74">
      <c r="B10" s="79" t="inlineStr">
        <is>
          <t>Units added in year</t>
        </is>
      </c>
      <c r="C10" s="76" t="inlineStr">
        <is>
          <t>count</t>
        </is>
      </c>
      <c r="D10" s="118">
        <f>Inputs!D59</f>
        <v/>
      </c>
      <c r="E10" s="118">
        <f>Inputs!E59</f>
        <v/>
      </c>
      <c r="F10" s="118">
        <f>Inputs!F59</f>
        <v/>
      </c>
      <c r="G10" s="118">
        <f>Inputs!G59</f>
        <v/>
      </c>
      <c r="H10" s="118">
        <f>Inputs!H59</f>
        <v/>
      </c>
      <c r="I10" s="118">
        <f>Inputs!I59</f>
        <v/>
      </c>
      <c r="J10" s="118">
        <f>Inputs!J59</f>
        <v/>
      </c>
      <c r="K10" s="118">
        <f>Inputs!K59</f>
        <v/>
      </c>
      <c r="L10" s="118">
        <f>Inputs!L59</f>
        <v/>
      </c>
      <c r="M10" s="118">
        <f>Inputs!M59</f>
        <v/>
      </c>
      <c r="N10" s="118">
        <f>Inputs!N59</f>
        <v/>
      </c>
    </row>
    <row r="11" ht="15" customHeight="1" s="74">
      <c r="B11" s="79" t="inlineStr">
        <is>
          <t>Units in service (year end)</t>
        </is>
      </c>
      <c r="C11" s="76" t="inlineStr">
        <is>
          <t>count</t>
        </is>
      </c>
      <c r="D11" s="115">
        <f>D10</f>
        <v/>
      </c>
      <c r="E11" s="115">
        <f>D11+E10</f>
        <v/>
      </c>
      <c r="F11" s="115">
        <f>E11+F10</f>
        <v/>
      </c>
      <c r="G11" s="115">
        <f>F11+G10</f>
        <v/>
      </c>
      <c r="H11" s="115">
        <f>G11+H10</f>
        <v/>
      </c>
      <c r="I11" s="115">
        <f>H11+I10</f>
        <v/>
      </c>
      <c r="J11" s="115">
        <f>I11+J10</f>
        <v/>
      </c>
      <c r="K11" s="115">
        <f>J11+K10</f>
        <v/>
      </c>
      <c r="L11" s="115">
        <f>K11+L10</f>
        <v/>
      </c>
      <c r="M11" s="115">
        <f>L11+M10</f>
        <v/>
      </c>
      <c r="N11" s="115">
        <f>M11+N10</f>
        <v/>
      </c>
    </row>
    <row r="12" ht="15" customHeight="1" s="74">
      <c r="B12" s="79" t="inlineStr">
        <is>
          <t>Effective unit-years (new units at first-year utilisation)</t>
        </is>
      </c>
      <c r="C12" s="76" t="inlineStr">
        <is>
          <t>unit-yrs</t>
        </is>
      </c>
      <c r="D12" s="114">
        <f>D11</f>
        <v/>
      </c>
      <c r="E12" s="114">
        <f>D11+E10*Inputs!$C$14</f>
        <v/>
      </c>
      <c r="F12" s="114">
        <f>E11+F10*Inputs!$C$14</f>
        <v/>
      </c>
      <c r="G12" s="114">
        <f>F11+G10*Inputs!$C$14</f>
        <v/>
      </c>
      <c r="H12" s="114">
        <f>G11+H10*Inputs!$C$14</f>
        <v/>
      </c>
      <c r="I12" s="114">
        <f>H11+I10*Inputs!$C$14</f>
        <v/>
      </c>
      <c r="J12" s="114">
        <f>I11+J10*Inputs!$C$14</f>
        <v/>
      </c>
      <c r="K12" s="114">
        <f>J11+K10*Inputs!$C$14</f>
        <v/>
      </c>
      <c r="L12" s="114">
        <f>K11+L10*Inputs!$C$14</f>
        <v/>
      </c>
      <c r="M12" s="114">
        <f>L11+M10*Inputs!$C$14</f>
        <v/>
      </c>
      <c r="N12" s="114">
        <f>M11+N10*Inputs!$C$14</f>
        <v/>
      </c>
    </row>
    <row r="13" ht="15" customHeight="1" s="74">
      <c r="B13" s="79" t="inlineStr">
        <is>
          <t>Revenue per unit-year (escalated)</t>
        </is>
      </c>
      <c r="C13" s="76" t="inlineStr">
        <is>
          <t>USD M</t>
        </is>
      </c>
      <c r="D13" s="119">
        <f>Inputs!$C$12</f>
        <v/>
      </c>
      <c r="E13" s="119">
        <f>D13*(1+Inputs!$C$13)</f>
        <v/>
      </c>
      <c r="F13" s="119">
        <f>E13*(1+Inputs!$C$13)</f>
        <v/>
      </c>
      <c r="G13" s="119">
        <f>F13*(1+Inputs!$C$13)</f>
        <v/>
      </c>
      <c r="H13" s="119">
        <f>G13*(1+Inputs!$C$13)</f>
        <v/>
      </c>
      <c r="I13" s="119">
        <f>H13*(1+Inputs!$C$13)</f>
        <v/>
      </c>
      <c r="J13" s="119">
        <f>I13*(1+Inputs!$C$13)</f>
        <v/>
      </c>
      <c r="K13" s="119">
        <f>J13*(1+Inputs!$C$13)</f>
        <v/>
      </c>
      <c r="L13" s="119">
        <f>K13*(1+Inputs!$C$13)</f>
        <v/>
      </c>
      <c r="M13" s="119">
        <f>L13*(1+Inputs!$C$13)</f>
        <v/>
      </c>
      <c r="N13" s="119">
        <f>M13*(1+Inputs!$C$13)</f>
        <v/>
      </c>
    </row>
    <row r="14" ht="15" customHeight="1" s="74">
      <c r="B14" s="83" t="inlineStr">
        <is>
          <t>Custody destruction services revenue</t>
        </is>
      </c>
      <c r="D14" s="120">
        <f>Baseline!$D$31</f>
        <v/>
      </c>
      <c r="E14" s="120">
        <f>E12*E13</f>
        <v/>
      </c>
      <c r="F14" s="120">
        <f>F12*F13</f>
        <v/>
      </c>
      <c r="G14" s="120">
        <f>G12*G13</f>
        <v/>
      </c>
      <c r="H14" s="120">
        <f>H12*H13</f>
        <v/>
      </c>
      <c r="I14" s="120">
        <f>I12*I13</f>
        <v/>
      </c>
      <c r="J14" s="120">
        <f>J12*J13</f>
        <v/>
      </c>
      <c r="K14" s="120">
        <f>K12*K13</f>
        <v/>
      </c>
      <c r="L14" s="120">
        <f>L12*L13</f>
        <v/>
      </c>
      <c r="M14" s="120">
        <f>M12*M13</f>
        <v/>
      </c>
      <c r="N14" s="120">
        <f>N12*N13</f>
        <v/>
      </c>
    </row>
    <row r="15" ht="15" customHeight="1" s="74">
      <c r="B15" s="76" t="inlineStr">
        <is>
          <t>Y0 (2026) = the Baseline FY2026 placeholder (defaults to the FY2025 actual). Fleet × rate applies from 2027, when the US entity and fleet additions come into service.</t>
        </is>
      </c>
    </row>
    <row r="17" ht="15" customHeight="1" s="74">
      <c r="B17" s="86" t="inlineStr">
        <is>
          <t>B. Equipment sales via agents</t>
        </is>
      </c>
      <c r="C17" s="87" t="n"/>
      <c r="D17" s="87" t="n"/>
      <c r="E17" s="87" t="n"/>
      <c r="F17" s="87" t="n"/>
      <c r="G17" s="87" t="n"/>
      <c r="H17" s="87" t="n"/>
      <c r="I17" s="87" t="n"/>
      <c r="J17" s="87" t="n"/>
      <c r="K17" s="87" t="n"/>
      <c r="L17" s="87" t="n"/>
      <c r="M17" s="87" t="n"/>
      <c r="N17" s="87" t="n"/>
    </row>
    <row r="18" ht="15" customHeight="1" s="74">
      <c r="B18" s="79" t="inlineStr">
        <is>
          <t>Units sold</t>
        </is>
      </c>
      <c r="C18" s="76" t="inlineStr">
        <is>
          <t>count</t>
        </is>
      </c>
      <c r="D18" s="118">
        <f>MAX(Baseline!$D$32,Inputs!D65)</f>
        <v/>
      </c>
      <c r="E18" s="118">
        <f>Inputs!E65</f>
        <v/>
      </c>
      <c r="F18" s="118">
        <f>Inputs!F65</f>
        <v/>
      </c>
      <c r="G18" s="118">
        <f>Inputs!G65</f>
        <v/>
      </c>
      <c r="H18" s="118">
        <f>Inputs!H65</f>
        <v/>
      </c>
      <c r="I18" s="118">
        <f>Inputs!I65</f>
        <v/>
      </c>
      <c r="J18" s="118">
        <f>Inputs!J65</f>
        <v/>
      </c>
      <c r="K18" s="118">
        <f>Inputs!K65</f>
        <v/>
      </c>
      <c r="L18" s="118">
        <f>Inputs!L65</f>
        <v/>
      </c>
      <c r="M18" s="118">
        <f>Inputs!M65</f>
        <v/>
      </c>
      <c r="N18" s="118">
        <f>Inputs!N65</f>
        <v/>
      </c>
    </row>
    <row r="19" ht="15" customHeight="1" s="74">
      <c r="B19" s="83" t="inlineStr">
        <is>
          <t>Equipment sales revenue</t>
        </is>
      </c>
      <c r="D19" s="120">
        <f>D18*Inputs!$C$16*(1+Inputs!$C$13)^0</f>
        <v/>
      </c>
      <c r="E19" s="120">
        <f>E18*Inputs!$C$16*(1+Inputs!$C$13)^1</f>
        <v/>
      </c>
      <c r="F19" s="120">
        <f>F18*Inputs!$C$16*(1+Inputs!$C$13)^2</f>
        <v/>
      </c>
      <c r="G19" s="120">
        <f>G18*Inputs!$C$16*(1+Inputs!$C$13)^3</f>
        <v/>
      </c>
      <c r="H19" s="120">
        <f>H18*Inputs!$C$16*(1+Inputs!$C$13)^4</f>
        <v/>
      </c>
      <c r="I19" s="120">
        <f>I18*Inputs!$C$16*(1+Inputs!$C$13)^5</f>
        <v/>
      </c>
      <c r="J19" s="120">
        <f>J18*Inputs!$C$16*(1+Inputs!$C$13)^6</f>
        <v/>
      </c>
      <c r="K19" s="120">
        <f>K18*Inputs!$C$16*(1+Inputs!$C$13)^7</f>
        <v/>
      </c>
      <c r="L19" s="120">
        <f>L18*Inputs!$C$16*(1+Inputs!$C$13)^8</f>
        <v/>
      </c>
      <c r="M19" s="120">
        <f>M18*Inputs!$C$16*(1+Inputs!$C$13)^9</f>
        <v/>
      </c>
      <c r="N19" s="120">
        <f>N18*Inputs!$C$16*(1+Inputs!$C$13)^10</f>
        <v/>
      </c>
    </row>
    <row r="21" ht="15" customHeight="1" s="74">
      <c r="B21" s="86" t="inlineStr">
        <is>
          <t>C. Allied / sovereign programmes (Phase 3 offer: design, build, operate, certify)</t>
        </is>
      </c>
      <c r="C21" s="87" t="n"/>
      <c r="D21" s="87" t="n"/>
      <c r="E21" s="87" t="n"/>
      <c r="F21" s="87" t="n"/>
      <c r="G21" s="87" t="n"/>
      <c r="H21" s="87" t="n"/>
      <c r="I21" s="87" t="n"/>
      <c r="J21" s="87" t="n"/>
      <c r="K21" s="87" t="n"/>
      <c r="L21" s="87" t="n"/>
      <c r="M21" s="87" t="n"/>
      <c r="N21" s="87" t="n"/>
    </row>
    <row r="22" ht="15" customHeight="1" s="74">
      <c r="B22" s="79" t="inlineStr">
        <is>
          <t>Programmes active</t>
        </is>
      </c>
      <c r="C22" s="76" t="inlineStr">
        <is>
          <t>count</t>
        </is>
      </c>
      <c r="D22" s="118">
        <f>Inputs!D71</f>
        <v/>
      </c>
      <c r="E22" s="118">
        <f>Inputs!E71</f>
        <v/>
      </c>
      <c r="F22" s="118">
        <f>Inputs!F71</f>
        <v/>
      </c>
      <c r="G22" s="118">
        <f>Inputs!G71</f>
        <v/>
      </c>
      <c r="H22" s="118">
        <f>Inputs!H71</f>
        <v/>
      </c>
      <c r="I22" s="118">
        <f>Inputs!I71</f>
        <v/>
      </c>
      <c r="J22" s="118">
        <f>Inputs!J71</f>
        <v/>
      </c>
      <c r="K22" s="118">
        <f>Inputs!K71</f>
        <v/>
      </c>
      <c r="L22" s="118">
        <f>Inputs!L71</f>
        <v/>
      </c>
      <c r="M22" s="118">
        <f>Inputs!M71</f>
        <v/>
      </c>
      <c r="N22" s="118">
        <f>Inputs!N71</f>
        <v/>
      </c>
    </row>
    <row r="23" ht="15" customHeight="1" s="74">
      <c r="B23" s="83" t="inlineStr">
        <is>
          <t>Allied / sovereign programme revenue</t>
        </is>
      </c>
      <c r="D23" s="120">
        <f>D22*Inputs!$C$17*(1+Inputs!$C$13)^0</f>
        <v/>
      </c>
      <c r="E23" s="120">
        <f>E22*Inputs!$C$17*(1+Inputs!$C$13)^1</f>
        <v/>
      </c>
      <c r="F23" s="120">
        <f>F22*Inputs!$C$17*(1+Inputs!$C$13)^2</f>
        <v/>
      </c>
      <c r="G23" s="120">
        <f>G22*Inputs!$C$17*(1+Inputs!$C$13)^3</f>
        <v/>
      </c>
      <c r="H23" s="120">
        <f>H22*Inputs!$C$17*(1+Inputs!$C$13)^4</f>
        <v/>
      </c>
      <c r="I23" s="120">
        <f>I22*Inputs!$C$17*(1+Inputs!$C$13)^5</f>
        <v/>
      </c>
      <c r="J23" s="120">
        <f>J22*Inputs!$C$17*(1+Inputs!$C$13)^6</f>
        <v/>
      </c>
      <c r="K23" s="120">
        <f>K22*Inputs!$C$17*(1+Inputs!$C$13)^7</f>
        <v/>
      </c>
      <c r="L23" s="120">
        <f>L22*Inputs!$C$17*(1+Inputs!$C$13)^8</f>
        <v/>
      </c>
      <c r="M23" s="120">
        <f>M22*Inputs!$C$17*(1+Inputs!$C$13)^9</f>
        <v/>
      </c>
      <c r="N23" s="120">
        <f>N22*Inputs!$C$17*(1+Inputs!$C$13)^10</f>
        <v/>
      </c>
    </row>
    <row r="25" ht="15" customHeight="1" s="74">
      <c r="B25" s="86" t="inlineStr">
        <is>
          <t>D. Post-conflict / clearance programmes</t>
        </is>
      </c>
      <c r="C25" s="87" t="n"/>
      <c r="D25" s="87" t="n"/>
      <c r="E25" s="87" t="n"/>
      <c r="F25" s="87" t="n"/>
      <c r="G25" s="87" t="n"/>
      <c r="H25" s="87" t="n"/>
      <c r="I25" s="87" t="n"/>
      <c r="J25" s="87" t="n"/>
      <c r="K25" s="87" t="n"/>
      <c r="L25" s="87" t="n"/>
      <c r="M25" s="87" t="n"/>
      <c r="N25" s="87" t="n"/>
    </row>
    <row r="26" ht="15" customHeight="1" s="74">
      <c r="B26" s="79" t="inlineStr">
        <is>
          <t>Programme-years</t>
        </is>
      </c>
      <c r="C26" s="76" t="inlineStr">
        <is>
          <t>count</t>
        </is>
      </c>
      <c r="D26" s="118">
        <f>Inputs!D77</f>
        <v/>
      </c>
      <c r="E26" s="118">
        <f>Inputs!E77</f>
        <v/>
      </c>
      <c r="F26" s="118">
        <f>Inputs!F77</f>
        <v/>
      </c>
      <c r="G26" s="118">
        <f>Inputs!G77</f>
        <v/>
      </c>
      <c r="H26" s="118">
        <f>Inputs!H77</f>
        <v/>
      </c>
      <c r="I26" s="118">
        <f>Inputs!I77</f>
        <v/>
      </c>
      <c r="J26" s="118">
        <f>Inputs!J77</f>
        <v/>
      </c>
      <c r="K26" s="118">
        <f>Inputs!K77</f>
        <v/>
      </c>
      <c r="L26" s="118">
        <f>Inputs!L77</f>
        <v/>
      </c>
      <c r="M26" s="118">
        <f>Inputs!M77</f>
        <v/>
      </c>
      <c r="N26" s="118">
        <f>Inputs!N77</f>
        <v/>
      </c>
    </row>
    <row r="27" ht="15" customHeight="1" s="74">
      <c r="B27" s="83" t="inlineStr">
        <is>
          <t>Post-conflict programme revenue</t>
        </is>
      </c>
      <c r="D27" s="120">
        <f>D26*Inputs!$C$18*(1+Inputs!$C$13)^0</f>
        <v/>
      </c>
      <c r="E27" s="120">
        <f>E26*Inputs!$C$18*(1+Inputs!$C$13)^1</f>
        <v/>
      </c>
      <c r="F27" s="120">
        <f>F26*Inputs!$C$18*(1+Inputs!$C$13)^2</f>
        <v/>
      </c>
      <c r="G27" s="120">
        <f>G26*Inputs!$C$18*(1+Inputs!$C$13)^3</f>
        <v/>
      </c>
      <c r="H27" s="120">
        <f>H26*Inputs!$C$18*(1+Inputs!$C$13)^4</f>
        <v/>
      </c>
      <c r="I27" s="120">
        <f>I26*Inputs!$C$18*(1+Inputs!$C$13)^5</f>
        <v/>
      </c>
      <c r="J27" s="120">
        <f>J26*Inputs!$C$18*(1+Inputs!$C$13)^6</f>
        <v/>
      </c>
      <c r="K27" s="120">
        <f>K26*Inputs!$C$18*(1+Inputs!$C$13)^7</f>
        <v/>
      </c>
      <c r="L27" s="120">
        <f>L26*Inputs!$C$18*(1+Inputs!$C$13)^8</f>
        <v/>
      </c>
      <c r="M27" s="120">
        <f>M26*Inputs!$C$18*(1+Inputs!$C$13)^9</f>
        <v/>
      </c>
      <c r="N27" s="120">
        <f>N26*Inputs!$C$18*(1+Inputs!$C$13)^10</f>
        <v/>
      </c>
    </row>
    <row r="29" ht="15" customHeight="1" s="74">
      <c r="B29" s="86" t="inlineStr">
        <is>
          <t>E. Metals recovery (on custody destruction services only)</t>
        </is>
      </c>
      <c r="C29" s="87" t="n"/>
      <c r="D29" s="87" t="n"/>
      <c r="E29" s="87" t="n"/>
      <c r="F29" s="87" t="n"/>
      <c r="G29" s="87" t="n"/>
      <c r="H29" s="87" t="n"/>
      <c r="I29" s="87" t="n"/>
      <c r="J29" s="87" t="n"/>
      <c r="K29" s="87" t="n"/>
      <c r="L29" s="87" t="n"/>
      <c r="M29" s="87" t="n"/>
      <c r="N29" s="87" t="n"/>
    </row>
    <row r="30" ht="15" customHeight="1" s="74">
      <c r="B30" s="83" t="inlineStr">
        <is>
          <t>Metals recovery revenue</t>
        </is>
      </c>
      <c r="D30" s="120">
        <f>D14*Inputs!$C$15</f>
        <v/>
      </c>
      <c r="E30" s="120">
        <f>E14*Inputs!$C$15</f>
        <v/>
      </c>
      <c r="F30" s="120">
        <f>F14*Inputs!$C$15</f>
        <v/>
      </c>
      <c r="G30" s="120">
        <f>G14*Inputs!$C$15</f>
        <v/>
      </c>
      <c r="H30" s="120">
        <f>H14*Inputs!$C$15</f>
        <v/>
      </c>
      <c r="I30" s="120">
        <f>I14*Inputs!$C$15</f>
        <v/>
      </c>
      <c r="J30" s="120">
        <f>J14*Inputs!$C$15</f>
        <v/>
      </c>
      <c r="K30" s="120">
        <f>K14*Inputs!$C$15</f>
        <v/>
      </c>
      <c r="L30" s="120">
        <f>L14*Inputs!$C$15</f>
        <v/>
      </c>
      <c r="M30" s="120">
        <f>M14*Inputs!$C$15</f>
        <v/>
      </c>
      <c r="N30" s="120">
        <f>N14*Inputs!$C$15</f>
        <v/>
      </c>
    </row>
    <row r="31" ht="15" customHeight="1" s="74">
      <c r="B31" s="76" t="inlineStr">
        <is>
          <t>Not applied to acquired businesses (their own recovery economics sit inside their revenue) nor to US DoD demil services (Army sells the material, 10 USC 7690).</t>
        </is>
      </c>
    </row>
    <row r="33" ht="15" customHeight="1" s="74">
      <c r="B33" s="86" t="inlineStr">
        <is>
          <t>F. Organic revenue and contribution</t>
        </is>
      </c>
      <c r="C33" s="87" t="n"/>
      <c r="D33" s="87" t="n"/>
      <c r="E33" s="87" t="n"/>
      <c r="F33" s="87" t="n"/>
      <c r="G33" s="87" t="n"/>
      <c r="H33" s="87" t="n"/>
      <c r="I33" s="87" t="n"/>
      <c r="J33" s="87" t="n"/>
      <c r="K33" s="87" t="n"/>
      <c r="L33" s="87" t="n"/>
      <c r="M33" s="87" t="n"/>
      <c r="N33" s="87" t="n"/>
    </row>
    <row r="34" ht="15" customHeight="1" s="74">
      <c r="B34" s="83" t="inlineStr">
        <is>
          <t>Total organic revenue</t>
        </is>
      </c>
      <c r="D34" s="120">
        <f>D14+D19+D23+D27+D30</f>
        <v/>
      </c>
      <c r="E34" s="120">
        <f>E14+E19+E23+E27+E30</f>
        <v/>
      </c>
      <c r="F34" s="120">
        <f>F14+F19+F23+F27+F30</f>
        <v/>
      </c>
      <c r="G34" s="120">
        <f>G14+G19+G23+G27+G30</f>
        <v/>
      </c>
      <c r="H34" s="120">
        <f>H14+H19+H23+H27+H30</f>
        <v/>
      </c>
      <c r="I34" s="120">
        <f>I14+I19+I23+I27+I30</f>
        <v/>
      </c>
      <c r="J34" s="120">
        <f>J14+J19+J23+J27+J30</f>
        <v/>
      </c>
      <c r="K34" s="120">
        <f>K14+K19+K23+K27+K30</f>
        <v/>
      </c>
      <c r="L34" s="120">
        <f>L14+L19+L23+L27+L30</f>
        <v/>
      </c>
      <c r="M34" s="120">
        <f>M14+M19+M23+M27+M30</f>
        <v/>
      </c>
      <c r="N34" s="120">
        <f>N14+N19+N23+N27+N30</f>
        <v/>
      </c>
    </row>
    <row r="35" ht="15" customHeight="1" s="74">
      <c r="B35" s="83" t="inlineStr">
        <is>
          <t>Organic EBITDA contribution (before corporate cost)</t>
        </is>
      </c>
      <c r="D35" s="110">
        <f>D14*Inputs!$C$20+D19*Inputs!$C$21+D23*Inputs!$C$22+D27*Inputs!$C$23+D30*Inputs!$C$24</f>
        <v/>
      </c>
      <c r="E35" s="110">
        <f>E14*Inputs!$C$20+E19*Inputs!$C$21+E23*Inputs!$C$22+E27*Inputs!$C$23+E30*Inputs!$C$24</f>
        <v/>
      </c>
      <c r="F35" s="110">
        <f>F14*Inputs!$C$20+F19*Inputs!$C$21+F23*Inputs!$C$22+F27*Inputs!$C$23+F30*Inputs!$C$24</f>
        <v/>
      </c>
      <c r="G35" s="110">
        <f>G14*Inputs!$C$20+G19*Inputs!$C$21+G23*Inputs!$C$22+G27*Inputs!$C$23+G30*Inputs!$C$24</f>
        <v/>
      </c>
      <c r="H35" s="110">
        <f>H14*Inputs!$C$20+H19*Inputs!$C$21+H23*Inputs!$C$22+H27*Inputs!$C$23+H30*Inputs!$C$24</f>
        <v/>
      </c>
      <c r="I35" s="110">
        <f>I14*Inputs!$C$20+I19*Inputs!$C$21+I23*Inputs!$C$22+I27*Inputs!$C$23+I30*Inputs!$C$24</f>
        <v/>
      </c>
      <c r="J35" s="110">
        <f>J14*Inputs!$C$20+J19*Inputs!$C$21+J23*Inputs!$C$22+J27*Inputs!$C$23+J30*Inputs!$C$24</f>
        <v/>
      </c>
      <c r="K35" s="110">
        <f>K14*Inputs!$C$20+K19*Inputs!$C$21+K23*Inputs!$C$22+K27*Inputs!$C$23+K30*Inputs!$C$24</f>
        <v/>
      </c>
      <c r="L35" s="110">
        <f>L14*Inputs!$C$20+L19*Inputs!$C$21+L23*Inputs!$C$22+L27*Inputs!$C$23+L30*Inputs!$C$24</f>
        <v/>
      </c>
      <c r="M35" s="110">
        <f>M14*Inputs!$C$20+M19*Inputs!$C$21+M23*Inputs!$C$22+M27*Inputs!$C$23+M30*Inputs!$C$24</f>
        <v/>
      </c>
      <c r="N35" s="110">
        <f>N14*Inputs!$C$20+N19*Inputs!$C$21+N23*Inputs!$C$22+N27*Inputs!$C$23+N30*Inputs!$C$24</f>
        <v/>
      </c>
    </row>
    <row r="36" ht="15" customHeight="1" s="74">
      <c r="B36" s="79" t="inlineStr">
        <is>
          <t>Organic contribution margin</t>
        </is>
      </c>
      <c r="D36" s="111">
        <f>IF(D34=0,0,D35/D34)</f>
        <v/>
      </c>
      <c r="E36" s="111">
        <f>IF(E34=0,0,E35/E34)</f>
        <v/>
      </c>
      <c r="F36" s="111">
        <f>IF(F34=0,0,F35/F34)</f>
        <v/>
      </c>
      <c r="G36" s="111">
        <f>IF(G34=0,0,G35/G34)</f>
        <v/>
      </c>
      <c r="H36" s="111">
        <f>IF(H34=0,0,H35/H34)</f>
        <v/>
      </c>
      <c r="I36" s="111">
        <f>IF(I34=0,0,I35/I34)</f>
        <v/>
      </c>
      <c r="J36" s="111">
        <f>IF(J34=0,0,J35/J34)</f>
        <v/>
      </c>
      <c r="K36" s="111">
        <f>IF(K34=0,0,K35/K34)</f>
        <v/>
      </c>
      <c r="L36" s="111">
        <f>IF(L34=0,0,L35/L34)</f>
        <v/>
      </c>
      <c r="M36" s="111">
        <f>IF(M34=0,0,M35/M34)</f>
        <v/>
      </c>
      <c r="N36" s="111">
        <f>IF(N34=0,0,N35/N34)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88274"/>
    <outlinePr summaryBelow="1" summaryRight="1"/>
    <pageSetUpPr fitToPage="0"/>
  </sheetPr>
  <dimension ref="B2:N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2" customWidth="1" style="73" min="3" max="11"/>
    <col width="11" customWidth="1" style="73" min="12" max="14"/>
  </cols>
  <sheetData>
    <row r="2" ht="17.25" customHeight="1" s="74">
      <c r="B2" s="75" t="inlineStr">
        <is>
          <t>Acquisition programme — capability acquisitions, deal by deal (USD M)</t>
        </is>
      </c>
    </row>
    <row r="3" ht="15" customHeight="1" s="74">
      <c r="B3" s="76" t="inlineStr">
        <is>
          <t>Capability categories only; named targets are held for diligence. Entry revenue, margin and multiple are ASSUMPTIONS bounded by sourced transaction and lower-middle-market data (Sources tab).</t>
        </is>
      </c>
    </row>
    <row r="6" ht="30" customHeight="1" s="74">
      <c r="B6" s="121" t="inlineStr">
        <is>
          <t>Capability category</t>
        </is>
      </c>
      <c r="C6" s="121" t="inlineStr">
        <is>
          <t>Base close yr</t>
        </is>
      </c>
      <c r="D6" s="121" t="inlineStr">
        <is>
          <t>Live close yr</t>
        </is>
      </c>
      <c r="E6" s="121" t="inlineStr">
        <is>
          <t>Entry rev</t>
        </is>
      </c>
      <c r="F6" s="121" t="inlineStr">
        <is>
          <t>EBITDA margin</t>
        </is>
      </c>
      <c r="G6" s="121" t="inlineStr">
        <is>
          <t>EV/EBITDA</t>
        </is>
      </c>
      <c r="H6" s="121" t="inlineStr">
        <is>
          <t>On (1/0)</t>
        </is>
      </c>
      <c r="I6" s="121" t="inlineStr">
        <is>
          <t>Price (live basis)</t>
        </is>
      </c>
      <c r="J6" s="121" t="inlineStr">
        <is>
          <t>Integration cost</t>
        </is>
      </c>
      <c r="K6" s="121" t="inlineStr">
        <is>
          <t>Price at rev. mult.</t>
        </is>
      </c>
    </row>
    <row r="7" ht="15" customHeight="1" s="74">
      <c r="B7" s="79" t="inlineStr">
        <is>
          <t>Large-calibre &amp; artillery demilitarization</t>
        </is>
      </c>
      <c r="C7" s="97" t="n">
        <v>2028</v>
      </c>
      <c r="D7" s="122">
        <f>C7+Inputs!$C$32</f>
        <v/>
      </c>
      <c r="E7" s="109" t="n">
        <v>18</v>
      </c>
      <c r="F7" s="93" t="n">
        <v>0.18</v>
      </c>
      <c r="G7" s="101" t="n">
        <v>5.5</v>
      </c>
      <c r="H7" s="96">
        <f>CHOOSE(Inputs!$C$6,1,1,1)</f>
        <v/>
      </c>
      <c r="I7" s="110">
        <f>H7*IF(Inputs!$C$33=1,E7*F7*G7,E7*Inputs!$C$34)</f>
        <v/>
      </c>
      <c r="J7" s="114">
        <f>I7*Inputs!$C$31</f>
        <v/>
      </c>
      <c r="K7" s="123">
        <f>H7*E7*Inputs!$C$34</f>
        <v/>
      </c>
    </row>
    <row r="8" ht="15" customHeight="1" s="74">
      <c r="B8" s="79" t="inlineStr">
        <is>
          <t>Metals recovery &amp; reclamation</t>
        </is>
      </c>
      <c r="C8" s="97" t="n">
        <v>2028</v>
      </c>
      <c r="D8" s="122">
        <f>C8+Inputs!$C$32</f>
        <v/>
      </c>
      <c r="E8" s="109" t="n">
        <v>15</v>
      </c>
      <c r="F8" s="93" t="n">
        <v>0.12</v>
      </c>
      <c r="G8" s="101" t="n">
        <v>5</v>
      </c>
      <c r="H8" s="96">
        <f>CHOOSE(Inputs!$C$6,1,1,1)</f>
        <v/>
      </c>
      <c r="I8" s="110">
        <f>H8*IF(Inputs!$C$33=1,E8*F8*G8,E8*Inputs!$C$34)</f>
        <v/>
      </c>
      <c r="J8" s="114">
        <f>I8*Inputs!$C$31</f>
        <v/>
      </c>
      <c r="K8" s="123">
        <f>H8*E8*Inputs!$C$34</f>
        <v/>
      </c>
    </row>
    <row r="9" ht="15" customHeight="1" s="74">
      <c r="B9" s="79" t="inlineStr">
        <is>
          <t>Plant &amp; equipment engineering</t>
        </is>
      </c>
      <c r="C9" s="97" t="n">
        <v>2029</v>
      </c>
      <c r="D9" s="122">
        <f>C9+Inputs!$C$32</f>
        <v/>
      </c>
      <c r="E9" s="109" t="n">
        <v>12</v>
      </c>
      <c r="F9" s="93" t="n">
        <v>0.15</v>
      </c>
      <c r="G9" s="101" t="n">
        <v>5.5</v>
      </c>
      <c r="H9" s="96">
        <f>CHOOSE(Inputs!$C$6,1,1,1)</f>
        <v/>
      </c>
      <c r="I9" s="110">
        <f>H9*IF(Inputs!$C$33=1,E9*F9*G9,E9*Inputs!$C$34)</f>
        <v/>
      </c>
      <c r="J9" s="114">
        <f>I9*Inputs!$C$31</f>
        <v/>
      </c>
      <c r="K9" s="123">
        <f>H9*E9*Inputs!$C$34</f>
        <v/>
      </c>
    </row>
    <row r="10" ht="15" customHeight="1" s="74">
      <c r="B10" s="79" t="inlineStr">
        <is>
          <t>Secure destruction — military &amp; conflict customers</t>
        </is>
      </c>
      <c r="C10" s="97" t="n">
        <v>2030</v>
      </c>
      <c r="D10" s="122">
        <f>C10+Inputs!$C$32</f>
        <v/>
      </c>
      <c r="E10" s="109" t="n">
        <v>10</v>
      </c>
      <c r="F10" s="93" t="n">
        <v>0.2</v>
      </c>
      <c r="G10" s="101" t="n">
        <v>6</v>
      </c>
      <c r="H10" s="96">
        <f>CHOOSE(Inputs!$C$6,1,1,1)</f>
        <v/>
      </c>
      <c r="I10" s="110">
        <f>H10*IF(Inputs!$C$33=1,E10*F10*G10,E10*Inputs!$C$34)</f>
        <v/>
      </c>
      <c r="J10" s="114">
        <f>I10*Inputs!$C$31</f>
        <v/>
      </c>
      <c r="K10" s="123">
        <f>H10*E10*Inputs!$C$34</f>
        <v/>
      </c>
    </row>
    <row r="11" ht="15" customHeight="1" s="74">
      <c r="B11" s="79" t="inlineStr">
        <is>
          <t>European demilitarization operating business</t>
        </is>
      </c>
      <c r="C11" s="97" t="n">
        <v>2031</v>
      </c>
      <c r="D11" s="122">
        <f>C11+Inputs!$C$32</f>
        <v/>
      </c>
      <c r="E11" s="109" t="n">
        <v>20</v>
      </c>
      <c r="F11" s="93" t="n">
        <v>0.18</v>
      </c>
      <c r="G11" s="101" t="n">
        <v>6</v>
      </c>
      <c r="H11" s="96">
        <f>CHOOSE(Inputs!$C$6,0,1,1)</f>
        <v/>
      </c>
      <c r="I11" s="110">
        <f>H11*IF(Inputs!$C$33=1,E11*F11*G11,E11*Inputs!$C$34)</f>
        <v/>
      </c>
      <c r="J11" s="114">
        <f>I11*Inputs!$C$31</f>
        <v/>
      </c>
      <c r="K11" s="123">
        <f>H11*E11*Inputs!$C$34</f>
        <v/>
      </c>
    </row>
    <row r="12" ht="15" customHeight="1" s="74">
      <c r="B12" s="79" t="inlineStr">
        <is>
          <t>Energetics / second recovery capability</t>
        </is>
      </c>
      <c r="C12" s="97" t="n">
        <v>2033</v>
      </c>
      <c r="D12" s="122">
        <f>C12+Inputs!$C$32</f>
        <v/>
      </c>
      <c r="E12" s="109" t="n">
        <v>15</v>
      </c>
      <c r="F12" s="93" t="n">
        <v>0.15</v>
      </c>
      <c r="G12" s="101" t="n">
        <v>5.5</v>
      </c>
      <c r="H12" s="96">
        <f>CHOOSE(Inputs!$C$6,0,1,1)</f>
        <v/>
      </c>
      <c r="I12" s="110">
        <f>H12*IF(Inputs!$C$33=1,E12*F12*G12,E12*Inputs!$C$34)</f>
        <v/>
      </c>
      <c r="J12" s="114">
        <f>I12*Inputs!$C$31</f>
        <v/>
      </c>
      <c r="K12" s="123">
        <f>H12*E12*Inputs!$C$34</f>
        <v/>
      </c>
    </row>
    <row r="13" ht="15" customHeight="1" s="74">
      <c r="B13" s="79" t="inlineStr">
        <is>
          <t>Additional platform deal (Upside only)</t>
        </is>
      </c>
      <c r="C13" s="97" t="n">
        <v>2030</v>
      </c>
      <c r="D13" s="122">
        <f>C13+Inputs!$C$32</f>
        <v/>
      </c>
      <c r="E13" s="109" t="n">
        <v>20</v>
      </c>
      <c r="F13" s="93" t="n">
        <v>0.18</v>
      </c>
      <c r="G13" s="101" t="n">
        <v>6</v>
      </c>
      <c r="H13" s="96">
        <f>CHOOSE(Inputs!$C$6,0,0,1)</f>
        <v/>
      </c>
      <c r="I13" s="110">
        <f>H13*IF(Inputs!$C$33=1,E13*F13*G13,E13*Inputs!$C$34)</f>
        <v/>
      </c>
      <c r="J13" s="114">
        <f>I13*Inputs!$C$31</f>
        <v/>
      </c>
      <c r="K13" s="123">
        <f>H13*E13*Inputs!$C$34</f>
        <v/>
      </c>
    </row>
    <row r="14" ht="15" customHeight="1" s="74">
      <c r="B14" s="83" t="inlineStr">
        <is>
          <t>Total programme (live)</t>
        </is>
      </c>
      <c r="E14" s="110">
        <f>SUMPRODUCT(H7:H13,E7:E13)</f>
        <v/>
      </c>
      <c r="I14" s="110">
        <f>SUM(I7:I13)</f>
        <v/>
      </c>
      <c r="J14" s="110">
        <f>SUM(J7:J13)</f>
        <v/>
      </c>
      <c r="K14" s="110">
        <f>SUM(K7:K13)</f>
        <v/>
      </c>
    </row>
    <row r="15" ht="15" customHeight="1" s="74">
      <c r="B15" s="79" t="inlineStr">
        <is>
          <t>Deals on (count)</t>
        </is>
      </c>
      <c r="H15" s="108">
        <f>SUM(H7:H13)</f>
        <v/>
      </c>
    </row>
    <row r="16" ht="15" customHeight="1" s="74">
      <c r="B16" s="79" t="inlineStr">
        <is>
          <t>Implied blended price / entry revenue</t>
        </is>
      </c>
      <c r="I16" s="124">
        <f>IF(E14=0,0,I14/E14)</f>
        <v/>
      </c>
    </row>
    <row r="17" ht="43.5" customHeight="1" s="74">
      <c r="B17" s="89" t="inlineStr">
        <is>
          <t>Reference: disclosed sector transactions 2023–26 cleared ~1.5–3.4x revenue (Cadre–Carr's 1.5x, Cadre–ICOR 2.3x, Cadre–Alpha Safety 2.4x, Rheinmetall–Expal 3.4x). Founder-held sub-$20M businesses trade at 4–7x EBITDA (GF Data / Pepperdine). Column K shows the revenue-multiple stress price.</t>
        </is>
      </c>
    </row>
    <row r="20" ht="15" customHeight="1" s="74">
      <c r="B20" s="85" t="inlineStr">
        <is>
          <t>USD millions unless noted</t>
        </is>
      </c>
      <c r="C20" s="85" t="inlineStr">
        <is>
          <t>Input / note</t>
        </is>
      </c>
      <c r="D20" s="104" t="n">
        <v>2026</v>
      </c>
      <c r="E20" s="104" t="n">
        <v>2027</v>
      </c>
      <c r="F20" s="104" t="n">
        <v>2028</v>
      </c>
      <c r="G20" s="104" t="n">
        <v>2029</v>
      </c>
      <c r="H20" s="104" t="n">
        <v>2030</v>
      </c>
      <c r="I20" s="104" t="n">
        <v>2031</v>
      </c>
      <c r="J20" s="104" t="n">
        <v>2032</v>
      </c>
      <c r="K20" s="104" t="n">
        <v>2033</v>
      </c>
      <c r="L20" s="104" t="n">
        <v>2034</v>
      </c>
      <c r="M20" s="104" t="n">
        <v>2035</v>
      </c>
      <c r="N20" s="104" t="n">
        <v>2036</v>
      </c>
    </row>
    <row r="21" ht="15" customHeight="1" s="74">
      <c r="B21" s="105" t="inlineStr">
        <is>
          <t>Model year</t>
        </is>
      </c>
      <c r="D21" s="106" t="inlineStr">
        <is>
          <t>Y0</t>
        </is>
      </c>
      <c r="E21" s="106" t="inlineStr">
        <is>
          <t>Y1</t>
        </is>
      </c>
      <c r="F21" s="106" t="inlineStr">
        <is>
          <t>Y2</t>
        </is>
      </c>
      <c r="G21" s="106" t="inlineStr">
        <is>
          <t>Y3</t>
        </is>
      </c>
      <c r="H21" s="106" t="inlineStr">
        <is>
          <t>Y4</t>
        </is>
      </c>
      <c r="I21" s="106" t="inlineStr">
        <is>
          <t>Y5</t>
        </is>
      </c>
      <c r="J21" s="106" t="inlineStr">
        <is>
          <t>Y6</t>
        </is>
      </c>
      <c r="K21" s="106" t="inlineStr">
        <is>
          <t>Y7</t>
        </is>
      </c>
      <c r="L21" s="106" t="inlineStr">
        <is>
          <t>Y8</t>
        </is>
      </c>
      <c r="M21" s="106" t="inlineStr">
        <is>
          <t>Y9</t>
        </is>
      </c>
      <c r="N21" s="106" t="inlineStr">
        <is>
          <t>Y10</t>
        </is>
      </c>
    </row>
    <row r="23" ht="15" customHeight="1" s="74">
      <c r="B23" s="86" t="inlineStr">
        <is>
          <t>Acquired revenue by deal (grows at post-acquisition rate from the year after close)</t>
        </is>
      </c>
      <c r="C23" s="87" t="n"/>
      <c r="D23" s="87" t="n"/>
      <c r="E23" s="87" t="n"/>
      <c r="F23" s="87" t="n"/>
      <c r="G23" s="87" t="n"/>
      <c r="H23" s="87" t="n"/>
      <c r="I23" s="87" t="n"/>
      <c r="J23" s="87" t="n"/>
      <c r="K23" s="87" t="n"/>
      <c r="L23" s="87" t="n"/>
      <c r="M23" s="87" t="n"/>
      <c r="N23" s="87" t="n"/>
    </row>
    <row r="24" ht="15" customHeight="1" s="74">
      <c r="B24" s="79" t="inlineStr">
        <is>
          <t xml:space="preserve">  Large-calibre &amp; artillery demilitarization</t>
        </is>
      </c>
      <c r="D24" s="114">
        <f>IF(OR($H$7=0,D$20&lt;$D$7),0,$E$7*(1+Inputs!$C$29)^(D$20-$D$7))</f>
        <v/>
      </c>
      <c r="E24" s="114">
        <f>IF(OR($H$7=0,E$20&lt;$D$7),0,$E$7*(1+Inputs!$C$29)^(E$20-$D$7))</f>
        <v/>
      </c>
      <c r="F24" s="114">
        <f>IF(OR($H$7=0,F$20&lt;$D$7),0,$E$7*(1+Inputs!$C$29)^(F$20-$D$7))</f>
        <v/>
      </c>
      <c r="G24" s="114">
        <f>IF(OR($H$7=0,G$20&lt;$D$7),0,$E$7*(1+Inputs!$C$29)^(G$20-$D$7))</f>
        <v/>
      </c>
      <c r="H24" s="114">
        <f>IF(OR($H$7=0,H$20&lt;$D$7),0,$E$7*(1+Inputs!$C$29)^(H$20-$D$7))</f>
        <v/>
      </c>
      <c r="I24" s="114">
        <f>IF(OR($H$7=0,I$20&lt;$D$7),0,$E$7*(1+Inputs!$C$29)^(I$20-$D$7))</f>
        <v/>
      </c>
      <c r="J24" s="114">
        <f>IF(OR($H$7=0,J$20&lt;$D$7),0,$E$7*(1+Inputs!$C$29)^(J$20-$D$7))</f>
        <v/>
      </c>
      <c r="K24" s="114">
        <f>IF(OR($H$7=0,K$20&lt;$D$7),0,$E$7*(1+Inputs!$C$29)^(K$20-$D$7))</f>
        <v/>
      </c>
      <c r="L24" s="114">
        <f>IF(OR($H$7=0,L$20&lt;$D$7),0,$E$7*(1+Inputs!$C$29)^(L$20-$D$7))</f>
        <v/>
      </c>
      <c r="M24" s="114">
        <f>IF(OR($H$7=0,M$20&lt;$D$7),0,$E$7*(1+Inputs!$C$29)^(M$20-$D$7))</f>
        <v/>
      </c>
      <c r="N24" s="114">
        <f>IF(OR($H$7=0,N$20&lt;$D$7),0,$E$7*(1+Inputs!$C$29)^(N$20-$D$7))</f>
        <v/>
      </c>
    </row>
    <row r="25" ht="15" customHeight="1" s="74">
      <c r="B25" s="79" t="inlineStr">
        <is>
          <t xml:space="preserve">  Metals recovery &amp; reclamation</t>
        </is>
      </c>
      <c r="D25" s="114">
        <f>IF(OR($H$8=0,D$20&lt;$D$8),0,$E$8*(1+Inputs!$C$29)^(D$20-$D$8))</f>
        <v/>
      </c>
      <c r="E25" s="114">
        <f>IF(OR($H$8=0,E$20&lt;$D$8),0,$E$8*(1+Inputs!$C$29)^(E$20-$D$8))</f>
        <v/>
      </c>
      <c r="F25" s="114">
        <f>IF(OR($H$8=0,F$20&lt;$D$8),0,$E$8*(1+Inputs!$C$29)^(F$20-$D$8))</f>
        <v/>
      </c>
      <c r="G25" s="114">
        <f>IF(OR($H$8=0,G$20&lt;$D$8),0,$E$8*(1+Inputs!$C$29)^(G$20-$D$8))</f>
        <v/>
      </c>
      <c r="H25" s="114">
        <f>IF(OR($H$8=0,H$20&lt;$D$8),0,$E$8*(1+Inputs!$C$29)^(H$20-$D$8))</f>
        <v/>
      </c>
      <c r="I25" s="114">
        <f>IF(OR($H$8=0,I$20&lt;$D$8),0,$E$8*(1+Inputs!$C$29)^(I$20-$D$8))</f>
        <v/>
      </c>
      <c r="J25" s="114">
        <f>IF(OR($H$8=0,J$20&lt;$D$8),0,$E$8*(1+Inputs!$C$29)^(J$20-$D$8))</f>
        <v/>
      </c>
      <c r="K25" s="114">
        <f>IF(OR($H$8=0,K$20&lt;$D$8),0,$E$8*(1+Inputs!$C$29)^(K$20-$D$8))</f>
        <v/>
      </c>
      <c r="L25" s="114">
        <f>IF(OR($H$8=0,L$20&lt;$D$8),0,$E$8*(1+Inputs!$C$29)^(L$20-$D$8))</f>
        <v/>
      </c>
      <c r="M25" s="114">
        <f>IF(OR($H$8=0,M$20&lt;$D$8),0,$E$8*(1+Inputs!$C$29)^(M$20-$D$8))</f>
        <v/>
      </c>
      <c r="N25" s="114">
        <f>IF(OR($H$8=0,N$20&lt;$D$8),0,$E$8*(1+Inputs!$C$29)^(N$20-$D$8))</f>
        <v/>
      </c>
    </row>
    <row r="26" ht="15" customHeight="1" s="74">
      <c r="B26" s="79" t="inlineStr">
        <is>
          <t xml:space="preserve">  Plant &amp; equipment engineering</t>
        </is>
      </c>
      <c r="D26" s="114">
        <f>IF(OR($H$9=0,D$20&lt;$D$9),0,$E$9*(1+Inputs!$C$29)^(D$20-$D$9))</f>
        <v/>
      </c>
      <c r="E26" s="114">
        <f>IF(OR($H$9=0,E$20&lt;$D$9),0,$E$9*(1+Inputs!$C$29)^(E$20-$D$9))</f>
        <v/>
      </c>
      <c r="F26" s="114">
        <f>IF(OR($H$9=0,F$20&lt;$D$9),0,$E$9*(1+Inputs!$C$29)^(F$20-$D$9))</f>
        <v/>
      </c>
      <c r="G26" s="114">
        <f>IF(OR($H$9=0,G$20&lt;$D$9),0,$E$9*(1+Inputs!$C$29)^(G$20-$D$9))</f>
        <v/>
      </c>
      <c r="H26" s="114">
        <f>IF(OR($H$9=0,H$20&lt;$D$9),0,$E$9*(1+Inputs!$C$29)^(H$20-$D$9))</f>
        <v/>
      </c>
      <c r="I26" s="114">
        <f>IF(OR($H$9=0,I$20&lt;$D$9),0,$E$9*(1+Inputs!$C$29)^(I$20-$D$9))</f>
        <v/>
      </c>
      <c r="J26" s="114">
        <f>IF(OR($H$9=0,J$20&lt;$D$9),0,$E$9*(1+Inputs!$C$29)^(J$20-$D$9))</f>
        <v/>
      </c>
      <c r="K26" s="114">
        <f>IF(OR($H$9=0,K$20&lt;$D$9),0,$E$9*(1+Inputs!$C$29)^(K$20-$D$9))</f>
        <v/>
      </c>
      <c r="L26" s="114">
        <f>IF(OR($H$9=0,L$20&lt;$D$9),0,$E$9*(1+Inputs!$C$29)^(L$20-$D$9))</f>
        <v/>
      </c>
      <c r="M26" s="114">
        <f>IF(OR($H$9=0,M$20&lt;$D$9),0,$E$9*(1+Inputs!$C$29)^(M$20-$D$9))</f>
        <v/>
      </c>
      <c r="N26" s="114">
        <f>IF(OR($H$9=0,N$20&lt;$D$9),0,$E$9*(1+Inputs!$C$29)^(N$20-$D$9))</f>
        <v/>
      </c>
    </row>
    <row r="27" ht="15" customHeight="1" s="74">
      <c r="B27" s="79" t="inlineStr">
        <is>
          <t xml:space="preserve">  Secure destruction — military &amp; conflict customers</t>
        </is>
      </c>
      <c r="D27" s="114">
        <f>IF(OR($H$10=0,D$20&lt;$D$10),0,$E$10*(1+Inputs!$C$29)^(D$20-$D$10))</f>
        <v/>
      </c>
      <c r="E27" s="114">
        <f>IF(OR($H$10=0,E$20&lt;$D$10),0,$E$10*(1+Inputs!$C$29)^(E$20-$D$10))</f>
        <v/>
      </c>
      <c r="F27" s="114">
        <f>IF(OR($H$10=0,F$20&lt;$D$10),0,$E$10*(1+Inputs!$C$29)^(F$20-$D$10))</f>
        <v/>
      </c>
      <c r="G27" s="114">
        <f>IF(OR($H$10=0,G$20&lt;$D$10),0,$E$10*(1+Inputs!$C$29)^(G$20-$D$10))</f>
        <v/>
      </c>
      <c r="H27" s="114">
        <f>IF(OR($H$10=0,H$20&lt;$D$10),0,$E$10*(1+Inputs!$C$29)^(H$20-$D$10))</f>
        <v/>
      </c>
      <c r="I27" s="114">
        <f>IF(OR($H$10=0,I$20&lt;$D$10),0,$E$10*(1+Inputs!$C$29)^(I$20-$D$10))</f>
        <v/>
      </c>
      <c r="J27" s="114">
        <f>IF(OR($H$10=0,J$20&lt;$D$10),0,$E$10*(1+Inputs!$C$29)^(J$20-$D$10))</f>
        <v/>
      </c>
      <c r="K27" s="114">
        <f>IF(OR($H$10=0,K$20&lt;$D$10),0,$E$10*(1+Inputs!$C$29)^(K$20-$D$10))</f>
        <v/>
      </c>
      <c r="L27" s="114">
        <f>IF(OR($H$10=0,L$20&lt;$D$10),0,$E$10*(1+Inputs!$C$29)^(L$20-$D$10))</f>
        <v/>
      </c>
      <c r="M27" s="114">
        <f>IF(OR($H$10=0,M$20&lt;$D$10),0,$E$10*(1+Inputs!$C$29)^(M$20-$D$10))</f>
        <v/>
      </c>
      <c r="N27" s="114">
        <f>IF(OR($H$10=0,N$20&lt;$D$10),0,$E$10*(1+Inputs!$C$29)^(N$20-$D$10))</f>
        <v/>
      </c>
    </row>
    <row r="28" ht="15" customHeight="1" s="74">
      <c r="B28" s="79" t="inlineStr">
        <is>
          <t xml:space="preserve">  European demilitarization operating business</t>
        </is>
      </c>
      <c r="D28" s="114">
        <f>IF(OR($H$11=0,D$20&lt;$D$11),0,$E$11*(1+Inputs!$C$29)^(D$20-$D$11))</f>
        <v/>
      </c>
      <c r="E28" s="114">
        <f>IF(OR($H$11=0,E$20&lt;$D$11),0,$E$11*(1+Inputs!$C$29)^(E$20-$D$11))</f>
        <v/>
      </c>
      <c r="F28" s="114">
        <f>IF(OR($H$11=0,F$20&lt;$D$11),0,$E$11*(1+Inputs!$C$29)^(F$20-$D$11))</f>
        <v/>
      </c>
      <c r="G28" s="114">
        <f>IF(OR($H$11=0,G$20&lt;$D$11),0,$E$11*(1+Inputs!$C$29)^(G$20-$D$11))</f>
        <v/>
      </c>
      <c r="H28" s="114">
        <f>IF(OR($H$11=0,H$20&lt;$D$11),0,$E$11*(1+Inputs!$C$29)^(H$20-$D$11))</f>
        <v/>
      </c>
      <c r="I28" s="114">
        <f>IF(OR($H$11=0,I$20&lt;$D$11),0,$E$11*(1+Inputs!$C$29)^(I$20-$D$11))</f>
        <v/>
      </c>
      <c r="J28" s="114">
        <f>IF(OR($H$11=0,J$20&lt;$D$11),0,$E$11*(1+Inputs!$C$29)^(J$20-$D$11))</f>
        <v/>
      </c>
      <c r="K28" s="114">
        <f>IF(OR($H$11=0,K$20&lt;$D$11),0,$E$11*(1+Inputs!$C$29)^(K$20-$D$11))</f>
        <v/>
      </c>
      <c r="L28" s="114">
        <f>IF(OR($H$11=0,L$20&lt;$D$11),0,$E$11*(1+Inputs!$C$29)^(L$20-$D$11))</f>
        <v/>
      </c>
      <c r="M28" s="114">
        <f>IF(OR($H$11=0,M$20&lt;$D$11),0,$E$11*(1+Inputs!$C$29)^(M$20-$D$11))</f>
        <v/>
      </c>
      <c r="N28" s="114">
        <f>IF(OR($H$11=0,N$20&lt;$D$11),0,$E$11*(1+Inputs!$C$29)^(N$20-$D$11))</f>
        <v/>
      </c>
    </row>
    <row r="29" ht="15" customHeight="1" s="74">
      <c r="B29" s="79" t="inlineStr">
        <is>
          <t xml:space="preserve">  Energetics / second recovery capability</t>
        </is>
      </c>
      <c r="D29" s="114">
        <f>IF(OR($H$12=0,D$20&lt;$D$12),0,$E$12*(1+Inputs!$C$29)^(D$20-$D$12))</f>
        <v/>
      </c>
      <c r="E29" s="114">
        <f>IF(OR($H$12=0,E$20&lt;$D$12),0,$E$12*(1+Inputs!$C$29)^(E$20-$D$12))</f>
        <v/>
      </c>
      <c r="F29" s="114">
        <f>IF(OR($H$12=0,F$20&lt;$D$12),0,$E$12*(1+Inputs!$C$29)^(F$20-$D$12))</f>
        <v/>
      </c>
      <c r="G29" s="114">
        <f>IF(OR($H$12=0,G$20&lt;$D$12),0,$E$12*(1+Inputs!$C$29)^(G$20-$D$12))</f>
        <v/>
      </c>
      <c r="H29" s="114">
        <f>IF(OR($H$12=0,H$20&lt;$D$12),0,$E$12*(1+Inputs!$C$29)^(H$20-$D$12))</f>
        <v/>
      </c>
      <c r="I29" s="114">
        <f>IF(OR($H$12=0,I$20&lt;$D$12),0,$E$12*(1+Inputs!$C$29)^(I$20-$D$12))</f>
        <v/>
      </c>
      <c r="J29" s="114">
        <f>IF(OR($H$12=0,J$20&lt;$D$12),0,$E$12*(1+Inputs!$C$29)^(J$20-$D$12))</f>
        <v/>
      </c>
      <c r="K29" s="114">
        <f>IF(OR($H$12=0,K$20&lt;$D$12),0,$E$12*(1+Inputs!$C$29)^(K$20-$D$12))</f>
        <v/>
      </c>
      <c r="L29" s="114">
        <f>IF(OR($H$12=0,L$20&lt;$D$12),0,$E$12*(1+Inputs!$C$29)^(L$20-$D$12))</f>
        <v/>
      </c>
      <c r="M29" s="114">
        <f>IF(OR($H$12=0,M$20&lt;$D$12),0,$E$12*(1+Inputs!$C$29)^(M$20-$D$12))</f>
        <v/>
      </c>
      <c r="N29" s="114">
        <f>IF(OR($H$12=0,N$20&lt;$D$12),0,$E$12*(1+Inputs!$C$29)^(N$20-$D$12))</f>
        <v/>
      </c>
    </row>
    <row r="30" ht="15" customHeight="1" s="74">
      <c r="B30" s="79" t="inlineStr">
        <is>
          <t xml:space="preserve">  Additional platform deal (Upside only)</t>
        </is>
      </c>
      <c r="D30" s="114">
        <f>IF(OR($H$13=0,D$20&lt;$D$13),0,$E$13*(1+Inputs!$C$29)^(D$20-$D$13))</f>
        <v/>
      </c>
      <c r="E30" s="114">
        <f>IF(OR($H$13=0,E$20&lt;$D$13),0,$E$13*(1+Inputs!$C$29)^(E$20-$D$13))</f>
        <v/>
      </c>
      <c r="F30" s="114">
        <f>IF(OR($H$13=0,F$20&lt;$D$13),0,$E$13*(1+Inputs!$C$29)^(F$20-$D$13))</f>
        <v/>
      </c>
      <c r="G30" s="114">
        <f>IF(OR($H$13=0,G$20&lt;$D$13),0,$E$13*(1+Inputs!$C$29)^(G$20-$D$13))</f>
        <v/>
      </c>
      <c r="H30" s="114">
        <f>IF(OR($H$13=0,H$20&lt;$D$13),0,$E$13*(1+Inputs!$C$29)^(H$20-$D$13))</f>
        <v/>
      </c>
      <c r="I30" s="114">
        <f>IF(OR($H$13=0,I$20&lt;$D$13),0,$E$13*(1+Inputs!$C$29)^(I$20-$D$13))</f>
        <v/>
      </c>
      <c r="J30" s="114">
        <f>IF(OR($H$13=0,J$20&lt;$D$13),0,$E$13*(1+Inputs!$C$29)^(J$20-$D$13))</f>
        <v/>
      </c>
      <c r="K30" s="114">
        <f>IF(OR($H$13=0,K$20&lt;$D$13),0,$E$13*(1+Inputs!$C$29)^(K$20-$D$13))</f>
        <v/>
      </c>
      <c r="L30" s="114">
        <f>IF(OR($H$13=0,L$20&lt;$D$13),0,$E$13*(1+Inputs!$C$29)^(L$20-$D$13))</f>
        <v/>
      </c>
      <c r="M30" s="114">
        <f>IF(OR($H$13=0,M$20&lt;$D$13),0,$E$13*(1+Inputs!$C$29)^(M$20-$D$13))</f>
        <v/>
      </c>
      <c r="N30" s="114">
        <f>IF(OR($H$13=0,N$20&lt;$D$13),0,$E$13*(1+Inputs!$C$29)^(N$20-$D$13))</f>
        <v/>
      </c>
    </row>
    <row r="31" ht="15" customHeight="1" s="74">
      <c r="B31" s="83" t="inlineStr">
        <is>
          <t>Total acquired revenue</t>
        </is>
      </c>
      <c r="D31" s="120">
        <f>SUM(D24:D30)</f>
        <v/>
      </c>
      <c r="E31" s="120">
        <f>SUM(E24:E30)</f>
        <v/>
      </c>
      <c r="F31" s="120">
        <f>SUM(F24:F30)</f>
        <v/>
      </c>
      <c r="G31" s="120">
        <f>SUM(G24:G30)</f>
        <v/>
      </c>
      <c r="H31" s="120">
        <f>SUM(H24:H30)</f>
        <v/>
      </c>
      <c r="I31" s="120">
        <f>SUM(I24:I30)</f>
        <v/>
      </c>
      <c r="J31" s="120">
        <f>SUM(J24:J30)</f>
        <v/>
      </c>
      <c r="K31" s="120">
        <f>SUM(K24:K30)</f>
        <v/>
      </c>
      <c r="L31" s="120">
        <f>SUM(L24:L30)</f>
        <v/>
      </c>
      <c r="M31" s="120">
        <f>SUM(M24:M30)</f>
        <v/>
      </c>
      <c r="N31" s="120">
        <f>SUM(N24:N30)</f>
        <v/>
      </c>
    </row>
    <row r="33" ht="15" customHeight="1" s="74">
      <c r="B33" s="86" t="inlineStr">
        <is>
          <t>Acquired EBITDA by deal (entry margin, plus synergy uplift phased over three years)</t>
        </is>
      </c>
      <c r="C33" s="87" t="n"/>
      <c r="D33" s="87" t="n"/>
      <c r="E33" s="87" t="n"/>
      <c r="F33" s="87" t="n"/>
      <c r="G33" s="87" t="n"/>
      <c r="H33" s="87" t="n"/>
      <c r="I33" s="87" t="n"/>
      <c r="J33" s="87" t="n"/>
      <c r="K33" s="87" t="n"/>
      <c r="L33" s="87" t="n"/>
      <c r="M33" s="87" t="n"/>
      <c r="N33" s="87" t="n"/>
    </row>
    <row r="34" ht="15" customHeight="1" s="74">
      <c r="B34" s="79" t="inlineStr">
        <is>
          <t xml:space="preserve">  Large-calibre &amp; artillery demilitarization</t>
        </is>
      </c>
      <c r="D34" s="114">
        <f>D24*($F$7+Inputs!$C$30*MIN(1,MAX(0,(D$20-$D$7))/3))</f>
        <v/>
      </c>
      <c r="E34" s="114">
        <f>E24*($F$7+Inputs!$C$30*MIN(1,MAX(0,(E$20-$D$7))/3))</f>
        <v/>
      </c>
      <c r="F34" s="114">
        <f>F24*($F$7+Inputs!$C$30*MIN(1,MAX(0,(F$20-$D$7))/3))</f>
        <v/>
      </c>
      <c r="G34" s="114">
        <f>G24*($F$7+Inputs!$C$30*MIN(1,MAX(0,(G$20-$D$7))/3))</f>
        <v/>
      </c>
      <c r="H34" s="114">
        <f>H24*($F$7+Inputs!$C$30*MIN(1,MAX(0,(H$20-$D$7))/3))</f>
        <v/>
      </c>
      <c r="I34" s="114">
        <f>I24*($F$7+Inputs!$C$30*MIN(1,MAX(0,(I$20-$D$7))/3))</f>
        <v/>
      </c>
      <c r="J34" s="114">
        <f>J24*($F$7+Inputs!$C$30*MIN(1,MAX(0,(J$20-$D$7))/3))</f>
        <v/>
      </c>
      <c r="K34" s="114">
        <f>K24*($F$7+Inputs!$C$30*MIN(1,MAX(0,(K$20-$D$7))/3))</f>
        <v/>
      </c>
      <c r="L34" s="114">
        <f>L24*($F$7+Inputs!$C$30*MIN(1,MAX(0,(L$20-$D$7))/3))</f>
        <v/>
      </c>
      <c r="M34" s="114">
        <f>M24*($F$7+Inputs!$C$30*MIN(1,MAX(0,(M$20-$D$7))/3))</f>
        <v/>
      </c>
      <c r="N34" s="114">
        <f>N24*($F$7+Inputs!$C$30*MIN(1,MAX(0,(N$20-$D$7))/3))</f>
        <v/>
      </c>
    </row>
    <row r="35" ht="15" customHeight="1" s="74">
      <c r="B35" s="79" t="inlineStr">
        <is>
          <t xml:space="preserve">  Metals recovery &amp; reclamation</t>
        </is>
      </c>
      <c r="D35" s="114">
        <f>D25*($F$8+Inputs!$C$30*MIN(1,MAX(0,(D$20-$D$8))/3))</f>
        <v/>
      </c>
      <c r="E35" s="114">
        <f>E25*($F$8+Inputs!$C$30*MIN(1,MAX(0,(E$20-$D$8))/3))</f>
        <v/>
      </c>
      <c r="F35" s="114">
        <f>F25*($F$8+Inputs!$C$30*MIN(1,MAX(0,(F$20-$D$8))/3))</f>
        <v/>
      </c>
      <c r="G35" s="114">
        <f>G25*($F$8+Inputs!$C$30*MIN(1,MAX(0,(G$20-$D$8))/3))</f>
        <v/>
      </c>
      <c r="H35" s="114">
        <f>H25*($F$8+Inputs!$C$30*MIN(1,MAX(0,(H$20-$D$8))/3))</f>
        <v/>
      </c>
      <c r="I35" s="114">
        <f>I25*($F$8+Inputs!$C$30*MIN(1,MAX(0,(I$20-$D$8))/3))</f>
        <v/>
      </c>
      <c r="J35" s="114">
        <f>J25*($F$8+Inputs!$C$30*MIN(1,MAX(0,(J$20-$D$8))/3))</f>
        <v/>
      </c>
      <c r="K35" s="114">
        <f>K25*($F$8+Inputs!$C$30*MIN(1,MAX(0,(K$20-$D$8))/3))</f>
        <v/>
      </c>
      <c r="L35" s="114">
        <f>L25*($F$8+Inputs!$C$30*MIN(1,MAX(0,(L$20-$D$8))/3))</f>
        <v/>
      </c>
      <c r="M35" s="114">
        <f>M25*($F$8+Inputs!$C$30*MIN(1,MAX(0,(M$20-$D$8))/3))</f>
        <v/>
      </c>
      <c r="N35" s="114">
        <f>N25*($F$8+Inputs!$C$30*MIN(1,MAX(0,(N$20-$D$8))/3))</f>
        <v/>
      </c>
    </row>
    <row r="36" ht="15" customHeight="1" s="74">
      <c r="B36" s="79" t="inlineStr">
        <is>
          <t xml:space="preserve">  Plant &amp; equipment engineering</t>
        </is>
      </c>
      <c r="D36" s="114">
        <f>D26*($F$9+Inputs!$C$30*MIN(1,MAX(0,(D$20-$D$9))/3))</f>
        <v/>
      </c>
      <c r="E36" s="114">
        <f>E26*($F$9+Inputs!$C$30*MIN(1,MAX(0,(E$20-$D$9))/3))</f>
        <v/>
      </c>
      <c r="F36" s="114">
        <f>F26*($F$9+Inputs!$C$30*MIN(1,MAX(0,(F$20-$D$9))/3))</f>
        <v/>
      </c>
      <c r="G36" s="114">
        <f>G26*($F$9+Inputs!$C$30*MIN(1,MAX(0,(G$20-$D$9))/3))</f>
        <v/>
      </c>
      <c r="H36" s="114">
        <f>H26*($F$9+Inputs!$C$30*MIN(1,MAX(0,(H$20-$D$9))/3))</f>
        <v/>
      </c>
      <c r="I36" s="114">
        <f>I26*($F$9+Inputs!$C$30*MIN(1,MAX(0,(I$20-$D$9))/3))</f>
        <v/>
      </c>
      <c r="J36" s="114">
        <f>J26*($F$9+Inputs!$C$30*MIN(1,MAX(0,(J$20-$D$9))/3))</f>
        <v/>
      </c>
      <c r="K36" s="114">
        <f>K26*($F$9+Inputs!$C$30*MIN(1,MAX(0,(K$20-$D$9))/3))</f>
        <v/>
      </c>
      <c r="L36" s="114">
        <f>L26*($F$9+Inputs!$C$30*MIN(1,MAX(0,(L$20-$D$9))/3))</f>
        <v/>
      </c>
      <c r="M36" s="114">
        <f>M26*($F$9+Inputs!$C$30*MIN(1,MAX(0,(M$20-$D$9))/3))</f>
        <v/>
      </c>
      <c r="N36" s="114">
        <f>N26*($F$9+Inputs!$C$30*MIN(1,MAX(0,(N$20-$D$9))/3))</f>
        <v/>
      </c>
    </row>
    <row r="37" ht="15" customHeight="1" s="74">
      <c r="B37" s="79" t="inlineStr">
        <is>
          <t xml:space="preserve">  Secure destruction — military &amp; conflict customers</t>
        </is>
      </c>
      <c r="D37" s="114">
        <f>D27*($F$10+Inputs!$C$30*MIN(1,MAX(0,(D$20-$D$10))/3))</f>
        <v/>
      </c>
      <c r="E37" s="114">
        <f>E27*($F$10+Inputs!$C$30*MIN(1,MAX(0,(E$20-$D$10))/3))</f>
        <v/>
      </c>
      <c r="F37" s="114">
        <f>F27*($F$10+Inputs!$C$30*MIN(1,MAX(0,(F$20-$D$10))/3))</f>
        <v/>
      </c>
      <c r="G37" s="114">
        <f>G27*($F$10+Inputs!$C$30*MIN(1,MAX(0,(G$20-$D$10))/3))</f>
        <v/>
      </c>
      <c r="H37" s="114">
        <f>H27*($F$10+Inputs!$C$30*MIN(1,MAX(0,(H$20-$D$10))/3))</f>
        <v/>
      </c>
      <c r="I37" s="114">
        <f>I27*($F$10+Inputs!$C$30*MIN(1,MAX(0,(I$20-$D$10))/3))</f>
        <v/>
      </c>
      <c r="J37" s="114">
        <f>J27*($F$10+Inputs!$C$30*MIN(1,MAX(0,(J$20-$D$10))/3))</f>
        <v/>
      </c>
      <c r="K37" s="114">
        <f>K27*($F$10+Inputs!$C$30*MIN(1,MAX(0,(K$20-$D$10))/3))</f>
        <v/>
      </c>
      <c r="L37" s="114">
        <f>L27*($F$10+Inputs!$C$30*MIN(1,MAX(0,(L$20-$D$10))/3))</f>
        <v/>
      </c>
      <c r="M37" s="114">
        <f>M27*($F$10+Inputs!$C$30*MIN(1,MAX(0,(M$20-$D$10))/3))</f>
        <v/>
      </c>
      <c r="N37" s="114">
        <f>N27*($F$10+Inputs!$C$30*MIN(1,MAX(0,(N$20-$D$10))/3))</f>
        <v/>
      </c>
    </row>
    <row r="38" ht="15" customHeight="1" s="74">
      <c r="B38" s="79" t="inlineStr">
        <is>
          <t xml:space="preserve">  European demilitarization operating business</t>
        </is>
      </c>
      <c r="D38" s="114">
        <f>D28*($F$11+Inputs!$C$30*MIN(1,MAX(0,(D$20-$D$11))/3))</f>
        <v/>
      </c>
      <c r="E38" s="114">
        <f>E28*($F$11+Inputs!$C$30*MIN(1,MAX(0,(E$20-$D$11))/3))</f>
        <v/>
      </c>
      <c r="F38" s="114">
        <f>F28*($F$11+Inputs!$C$30*MIN(1,MAX(0,(F$20-$D$11))/3))</f>
        <v/>
      </c>
      <c r="G38" s="114">
        <f>G28*($F$11+Inputs!$C$30*MIN(1,MAX(0,(G$20-$D$11))/3))</f>
        <v/>
      </c>
      <c r="H38" s="114">
        <f>H28*($F$11+Inputs!$C$30*MIN(1,MAX(0,(H$20-$D$11))/3))</f>
        <v/>
      </c>
      <c r="I38" s="114">
        <f>I28*($F$11+Inputs!$C$30*MIN(1,MAX(0,(I$20-$D$11))/3))</f>
        <v/>
      </c>
      <c r="J38" s="114">
        <f>J28*($F$11+Inputs!$C$30*MIN(1,MAX(0,(J$20-$D$11))/3))</f>
        <v/>
      </c>
      <c r="K38" s="114">
        <f>K28*($F$11+Inputs!$C$30*MIN(1,MAX(0,(K$20-$D$11))/3))</f>
        <v/>
      </c>
      <c r="L38" s="114">
        <f>L28*($F$11+Inputs!$C$30*MIN(1,MAX(0,(L$20-$D$11))/3))</f>
        <v/>
      </c>
      <c r="M38" s="114">
        <f>M28*($F$11+Inputs!$C$30*MIN(1,MAX(0,(M$20-$D$11))/3))</f>
        <v/>
      </c>
      <c r="N38" s="114">
        <f>N28*($F$11+Inputs!$C$30*MIN(1,MAX(0,(N$20-$D$11))/3))</f>
        <v/>
      </c>
    </row>
    <row r="39" ht="15" customHeight="1" s="74">
      <c r="B39" s="79" t="inlineStr">
        <is>
          <t xml:space="preserve">  Energetics / second recovery capability</t>
        </is>
      </c>
      <c r="D39" s="114">
        <f>D29*($F$12+Inputs!$C$30*MIN(1,MAX(0,(D$20-$D$12))/3))</f>
        <v/>
      </c>
      <c r="E39" s="114">
        <f>E29*($F$12+Inputs!$C$30*MIN(1,MAX(0,(E$20-$D$12))/3))</f>
        <v/>
      </c>
      <c r="F39" s="114">
        <f>F29*($F$12+Inputs!$C$30*MIN(1,MAX(0,(F$20-$D$12))/3))</f>
        <v/>
      </c>
      <c r="G39" s="114">
        <f>G29*($F$12+Inputs!$C$30*MIN(1,MAX(0,(G$20-$D$12))/3))</f>
        <v/>
      </c>
      <c r="H39" s="114">
        <f>H29*($F$12+Inputs!$C$30*MIN(1,MAX(0,(H$20-$D$12))/3))</f>
        <v/>
      </c>
      <c r="I39" s="114">
        <f>I29*($F$12+Inputs!$C$30*MIN(1,MAX(0,(I$20-$D$12))/3))</f>
        <v/>
      </c>
      <c r="J39" s="114">
        <f>J29*($F$12+Inputs!$C$30*MIN(1,MAX(0,(J$20-$D$12))/3))</f>
        <v/>
      </c>
      <c r="K39" s="114">
        <f>K29*($F$12+Inputs!$C$30*MIN(1,MAX(0,(K$20-$D$12))/3))</f>
        <v/>
      </c>
      <c r="L39" s="114">
        <f>L29*($F$12+Inputs!$C$30*MIN(1,MAX(0,(L$20-$D$12))/3))</f>
        <v/>
      </c>
      <c r="M39" s="114">
        <f>M29*($F$12+Inputs!$C$30*MIN(1,MAX(0,(M$20-$D$12))/3))</f>
        <v/>
      </c>
      <c r="N39" s="114">
        <f>N29*($F$12+Inputs!$C$30*MIN(1,MAX(0,(N$20-$D$12))/3))</f>
        <v/>
      </c>
    </row>
    <row r="40" ht="15" customHeight="1" s="74">
      <c r="B40" s="79" t="inlineStr">
        <is>
          <t xml:space="preserve">  Additional platform deal (Upside only)</t>
        </is>
      </c>
      <c r="D40" s="114">
        <f>D30*($F$13+Inputs!$C$30*MIN(1,MAX(0,(D$20-$D$13))/3))</f>
        <v/>
      </c>
      <c r="E40" s="114">
        <f>E30*($F$13+Inputs!$C$30*MIN(1,MAX(0,(E$20-$D$13))/3))</f>
        <v/>
      </c>
      <c r="F40" s="114">
        <f>F30*($F$13+Inputs!$C$30*MIN(1,MAX(0,(F$20-$D$13))/3))</f>
        <v/>
      </c>
      <c r="G40" s="114">
        <f>G30*($F$13+Inputs!$C$30*MIN(1,MAX(0,(G$20-$D$13))/3))</f>
        <v/>
      </c>
      <c r="H40" s="114">
        <f>H30*($F$13+Inputs!$C$30*MIN(1,MAX(0,(H$20-$D$13))/3))</f>
        <v/>
      </c>
      <c r="I40" s="114">
        <f>I30*($F$13+Inputs!$C$30*MIN(1,MAX(0,(I$20-$D$13))/3))</f>
        <v/>
      </c>
      <c r="J40" s="114">
        <f>J30*($F$13+Inputs!$C$30*MIN(1,MAX(0,(J$20-$D$13))/3))</f>
        <v/>
      </c>
      <c r="K40" s="114">
        <f>K30*($F$13+Inputs!$C$30*MIN(1,MAX(0,(K$20-$D$13))/3))</f>
        <v/>
      </c>
      <c r="L40" s="114">
        <f>L30*($F$13+Inputs!$C$30*MIN(1,MAX(0,(L$20-$D$13))/3))</f>
        <v/>
      </c>
      <c r="M40" s="114">
        <f>M30*($F$13+Inputs!$C$30*MIN(1,MAX(0,(M$20-$D$13))/3))</f>
        <v/>
      </c>
      <c r="N40" s="114">
        <f>N30*($F$13+Inputs!$C$30*MIN(1,MAX(0,(N$20-$D$13))/3))</f>
        <v/>
      </c>
    </row>
    <row r="41" ht="15" customHeight="1" s="74">
      <c r="B41" s="83" t="inlineStr">
        <is>
          <t>Total acquired EBITDA</t>
        </is>
      </c>
      <c r="D41" s="120">
        <f>SUM(D34:D40)</f>
        <v/>
      </c>
      <c r="E41" s="120">
        <f>SUM(E34:E40)</f>
        <v/>
      </c>
      <c r="F41" s="120">
        <f>SUM(F34:F40)</f>
        <v/>
      </c>
      <c r="G41" s="120">
        <f>SUM(G34:G40)</f>
        <v/>
      </c>
      <c r="H41" s="120">
        <f>SUM(H34:H40)</f>
        <v/>
      </c>
      <c r="I41" s="120">
        <f>SUM(I34:I40)</f>
        <v/>
      </c>
      <c r="J41" s="120">
        <f>SUM(J34:J40)</f>
        <v/>
      </c>
      <c r="K41" s="120">
        <f>SUM(K34:K40)</f>
        <v/>
      </c>
      <c r="L41" s="120">
        <f>SUM(L34:L40)</f>
        <v/>
      </c>
      <c r="M41" s="120">
        <f>SUM(M34:M40)</f>
        <v/>
      </c>
      <c r="N41" s="120">
        <f>SUM(N34:N40)</f>
        <v/>
      </c>
    </row>
    <row r="43" ht="15" customHeight="1" s="74">
      <c r="B43" s="86" t="inlineStr">
        <is>
          <t>Cash spent on acquisitions</t>
        </is>
      </c>
      <c r="C43" s="87" t="n"/>
      <c r="D43" s="87" t="n"/>
      <c r="E43" s="87" t="n"/>
      <c r="F43" s="87" t="n"/>
      <c r="G43" s="87" t="n"/>
      <c r="H43" s="87" t="n"/>
      <c r="I43" s="87" t="n"/>
      <c r="J43" s="87" t="n"/>
      <c r="K43" s="87" t="n"/>
      <c r="L43" s="87" t="n"/>
      <c r="M43" s="87" t="n"/>
      <c r="N43" s="87" t="n"/>
    </row>
    <row r="44" ht="15" customHeight="1" s="74">
      <c r="B44" s="83" t="inlineStr">
        <is>
          <t>Purchase consideration paid in year</t>
        </is>
      </c>
      <c r="D44" s="110">
        <f>SUMPRODUCT(($D$7:$D$13=D$20)*$I$7:$I$13)</f>
        <v/>
      </c>
      <c r="E44" s="110">
        <f>SUMPRODUCT(($D$7:$D$13=E$20)*$I$7:$I$13)</f>
        <v/>
      </c>
      <c r="F44" s="110">
        <f>SUMPRODUCT(($D$7:$D$13=F$20)*$I$7:$I$13)</f>
        <v/>
      </c>
      <c r="G44" s="110">
        <f>SUMPRODUCT(($D$7:$D$13=G$20)*$I$7:$I$13)</f>
        <v/>
      </c>
      <c r="H44" s="110">
        <f>SUMPRODUCT(($D$7:$D$13=H$20)*$I$7:$I$13)</f>
        <v/>
      </c>
      <c r="I44" s="110">
        <f>SUMPRODUCT(($D$7:$D$13=I$20)*$I$7:$I$13)</f>
        <v/>
      </c>
      <c r="J44" s="110">
        <f>SUMPRODUCT(($D$7:$D$13=J$20)*$I$7:$I$13)</f>
        <v/>
      </c>
      <c r="K44" s="110">
        <f>SUMPRODUCT(($D$7:$D$13=K$20)*$I$7:$I$13)</f>
        <v/>
      </c>
      <c r="L44" s="110">
        <f>SUMPRODUCT(($D$7:$D$13=L$20)*$I$7:$I$13)</f>
        <v/>
      </c>
      <c r="M44" s="110">
        <f>SUMPRODUCT(($D$7:$D$13=M$20)*$I$7:$I$13)</f>
        <v/>
      </c>
      <c r="N44" s="110">
        <f>SUMPRODUCT(($D$7:$D$13=N$20)*$I$7:$I$13)</f>
        <v/>
      </c>
    </row>
    <row r="45" ht="15" customHeight="1" s="74">
      <c r="B45" s="79" t="inlineStr">
        <is>
          <t>Integration cost in year</t>
        </is>
      </c>
      <c r="D45" s="114">
        <f>SUMPRODUCT(($D$7:$D$13=D$20)*$J$7:$J$13)</f>
        <v/>
      </c>
      <c r="E45" s="114">
        <f>SUMPRODUCT(($D$7:$D$13=E$20)*$J$7:$J$13)</f>
        <v/>
      </c>
      <c r="F45" s="114">
        <f>SUMPRODUCT(($D$7:$D$13=F$20)*$J$7:$J$13)</f>
        <v/>
      </c>
      <c r="G45" s="114">
        <f>SUMPRODUCT(($D$7:$D$13=G$20)*$J$7:$J$13)</f>
        <v/>
      </c>
      <c r="H45" s="114">
        <f>SUMPRODUCT(($D$7:$D$13=H$20)*$J$7:$J$13)</f>
        <v/>
      </c>
      <c r="I45" s="114">
        <f>SUMPRODUCT(($D$7:$D$13=I$20)*$J$7:$J$13)</f>
        <v/>
      </c>
      <c r="J45" s="114">
        <f>SUMPRODUCT(($D$7:$D$13=J$20)*$J$7:$J$13)</f>
        <v/>
      </c>
      <c r="K45" s="114">
        <f>SUMPRODUCT(($D$7:$D$13=K$20)*$J$7:$J$13)</f>
        <v/>
      </c>
      <c r="L45" s="114">
        <f>SUMPRODUCT(($D$7:$D$13=L$20)*$J$7:$J$13)</f>
        <v/>
      </c>
      <c r="M45" s="114">
        <f>SUMPRODUCT(($D$7:$D$13=M$20)*$J$7:$J$13)</f>
        <v/>
      </c>
      <c r="N45" s="114">
        <f>SUMPRODUCT(($D$7:$D$13=N$20)*$J$7:$J$13)</f>
        <v/>
      </c>
    </row>
    <row r="46" ht="15" customHeight="1" s="74">
      <c r="B46" s="79" t="inlineStr">
        <is>
          <t>Deals closing in year</t>
        </is>
      </c>
      <c r="D46" s="115">
        <f>SUMPRODUCT(($D$7:$D$13=D$20)*$H$7:$H$13)</f>
        <v/>
      </c>
      <c r="E46" s="115">
        <f>SUMPRODUCT(($D$7:$D$13=E$20)*$H$7:$H$13)</f>
        <v/>
      </c>
      <c r="F46" s="115">
        <f>SUMPRODUCT(($D$7:$D$13=F$20)*$H$7:$H$13)</f>
        <v/>
      </c>
      <c r="G46" s="115">
        <f>SUMPRODUCT(($D$7:$D$13=G$20)*$H$7:$H$13)</f>
        <v/>
      </c>
      <c r="H46" s="115">
        <f>SUMPRODUCT(($D$7:$D$13=H$20)*$H$7:$H$13)</f>
        <v/>
      </c>
      <c r="I46" s="115">
        <f>SUMPRODUCT(($D$7:$D$13=I$20)*$H$7:$H$13)</f>
        <v/>
      </c>
      <c r="J46" s="115">
        <f>SUMPRODUCT(($D$7:$D$13=J$20)*$H$7:$H$13)</f>
        <v/>
      </c>
      <c r="K46" s="115">
        <f>SUMPRODUCT(($D$7:$D$13=K$20)*$H$7:$H$13)</f>
        <v/>
      </c>
      <c r="L46" s="115">
        <f>SUMPRODUCT(($D$7:$D$13=L$20)*$H$7:$H$13)</f>
        <v/>
      </c>
      <c r="M46" s="115">
        <f>SUMPRODUCT(($D$7:$D$13=M$20)*$H$7:$H$13)</f>
        <v/>
      </c>
      <c r="N46" s="115">
        <f>SUMPRODUCT(($D$7:$D$13=N$20)*$H$7:$H$13)</f>
        <v/>
      </c>
    </row>
    <row r="47" ht="15" customHeight="1" s="74">
      <c r="B47" s="79" t="inlineStr">
        <is>
          <t>Cumulative deals closed</t>
        </is>
      </c>
      <c r="D47" s="115">
        <f>D46</f>
        <v/>
      </c>
      <c r="E47" s="115">
        <f>D47+E46</f>
        <v/>
      </c>
      <c r="F47" s="115">
        <f>E47+F46</f>
        <v/>
      </c>
      <c r="G47" s="115">
        <f>F47+G46</f>
        <v/>
      </c>
      <c r="H47" s="115">
        <f>G47+H46</f>
        <v/>
      </c>
      <c r="I47" s="115">
        <f>H47+I46</f>
        <v/>
      </c>
      <c r="J47" s="115">
        <f>I47+J46</f>
        <v/>
      </c>
      <c r="K47" s="115">
        <f>J47+K46</f>
        <v/>
      </c>
      <c r="L47" s="115">
        <f>K47+L46</f>
        <v/>
      </c>
      <c r="M47" s="115">
        <f>L47+M46</f>
        <v/>
      </c>
      <c r="N47" s="115">
        <f>M47+N46</f>
        <v/>
      </c>
    </row>
    <row r="48" ht="15" customHeight="1" s="74">
      <c r="B48" s="79" t="inlineStr">
        <is>
          <t>Memo: consideration at revenue-multiple stress price</t>
        </is>
      </c>
      <c r="D48" s="123">
        <f>SUMPRODUCT(($D$7:$D$13=D$20)*$K$7:$K$13)</f>
        <v/>
      </c>
      <c r="E48" s="123">
        <f>SUMPRODUCT(($D$7:$D$13=E$20)*$K$7:$K$13)</f>
        <v/>
      </c>
      <c r="F48" s="123">
        <f>SUMPRODUCT(($D$7:$D$13=F$20)*$K$7:$K$13)</f>
        <v/>
      </c>
      <c r="G48" s="123">
        <f>SUMPRODUCT(($D$7:$D$13=G$20)*$K$7:$K$13)</f>
        <v/>
      </c>
      <c r="H48" s="123">
        <f>SUMPRODUCT(($D$7:$D$13=H$20)*$K$7:$K$13)</f>
        <v/>
      </c>
      <c r="I48" s="123">
        <f>SUMPRODUCT(($D$7:$D$13=I$20)*$K$7:$K$13)</f>
        <v/>
      </c>
      <c r="J48" s="123">
        <f>SUMPRODUCT(($D$7:$D$13=J$20)*$K$7:$K$13)</f>
        <v/>
      </c>
      <c r="K48" s="123">
        <f>SUMPRODUCT(($D$7:$D$13=K$20)*$K$7:$K$13)</f>
        <v/>
      </c>
      <c r="L48" s="123">
        <f>SUMPRODUCT(($D$7:$D$13=L$20)*$K$7:$K$13)</f>
        <v/>
      </c>
      <c r="M48" s="123">
        <f>SUMPRODUCT(($D$7:$D$13=M$20)*$K$7:$K$13)</f>
        <v/>
      </c>
      <c r="N48" s="123">
        <f>SUMPRODUCT(($D$7:$D$13=N$20)*$K$7:$K$13)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tabColor rgb="FFCFCDC4"/>
    <outlinePr summaryBelow="1" summaryRight="1"/>
    <pageSetUpPr fitToPage="0"/>
  </sheetPr>
  <dimension ref="B2:N47"/>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3"/>
    <col width="11" customWidth="1" style="73" min="4" max="14"/>
  </cols>
  <sheetData>
    <row r="2" ht="17.25" customHeight="1" s="74">
      <c r="B2" s="75" t="inlineStr">
        <is>
          <t>Consolidated P&amp;L, cash and capital requirement (USD M)</t>
        </is>
      </c>
    </row>
    <row r="3" ht="15" customHeight="1" s="74">
      <c r="B3" s="76" t="inlineStr">
        <is>
          <t>Organic + acquired. Capital requirement assumes equity funding of the whole plan (no acquisition debt) — conservative for a returns case.</t>
        </is>
      </c>
    </row>
    <row r="6" ht="15" customHeight="1" s="74">
      <c r="B6" s="85" t="inlineStr">
        <is>
          <t>USD millions unless noted</t>
        </is>
      </c>
      <c r="C6" s="85" t="inlineStr">
        <is>
          <t>Input / note</t>
        </is>
      </c>
      <c r="D6" s="104" t="n">
        <v>2026</v>
      </c>
      <c r="E6" s="104" t="n">
        <v>2027</v>
      </c>
      <c r="F6" s="104" t="n">
        <v>2028</v>
      </c>
      <c r="G6" s="104" t="n">
        <v>2029</v>
      </c>
      <c r="H6" s="104" t="n">
        <v>2030</v>
      </c>
      <c r="I6" s="104" t="n">
        <v>2031</v>
      </c>
      <c r="J6" s="104" t="n">
        <v>2032</v>
      </c>
      <c r="K6" s="104" t="n">
        <v>2033</v>
      </c>
      <c r="L6" s="104" t="n">
        <v>2034</v>
      </c>
      <c r="M6" s="104" t="n">
        <v>2035</v>
      </c>
      <c r="N6" s="104" t="n">
        <v>2036</v>
      </c>
    </row>
    <row r="7" ht="15" customHeight="1" s="74">
      <c r="B7" s="105" t="inlineStr">
        <is>
          <t>Model year</t>
        </is>
      </c>
      <c r="D7" s="106" t="inlineStr">
        <is>
          <t>Y0</t>
        </is>
      </c>
      <c r="E7" s="106" t="inlineStr">
        <is>
          <t>Y1</t>
        </is>
      </c>
      <c r="F7" s="106" t="inlineStr">
        <is>
          <t>Y2</t>
        </is>
      </c>
      <c r="G7" s="106" t="inlineStr">
        <is>
          <t>Y3</t>
        </is>
      </c>
      <c r="H7" s="106" t="inlineStr">
        <is>
          <t>Y4</t>
        </is>
      </c>
      <c r="I7" s="106" t="inlineStr">
        <is>
          <t>Y5</t>
        </is>
      </c>
      <c r="J7" s="106" t="inlineStr">
        <is>
          <t>Y6</t>
        </is>
      </c>
      <c r="K7" s="106" t="inlineStr">
        <is>
          <t>Y7</t>
        </is>
      </c>
      <c r="L7" s="106" t="inlineStr">
        <is>
          <t>Y8</t>
        </is>
      </c>
      <c r="M7" s="106" t="inlineStr">
        <is>
          <t>Y9</t>
        </is>
      </c>
      <c r="N7" s="106" t="inlineStr">
        <is>
          <t>Y10</t>
        </is>
      </c>
    </row>
    <row r="9" ht="15" customHeight="1" s="74">
      <c r="B9" s="86" t="inlineStr">
        <is>
          <t>Revenue</t>
        </is>
      </c>
      <c r="C9" s="87" t="n"/>
      <c r="D9" s="87" t="n"/>
      <c r="E9" s="87" t="n"/>
      <c r="F9" s="87" t="n"/>
      <c r="G9" s="87" t="n"/>
      <c r="H9" s="87" t="n"/>
      <c r="I9" s="87" t="n"/>
      <c r="J9" s="87" t="n"/>
      <c r="K9" s="87" t="n"/>
      <c r="L9" s="87" t="n"/>
      <c r="M9" s="87" t="n"/>
      <c r="N9" s="87" t="n"/>
    </row>
    <row r="10" ht="15" customHeight="1" s="74">
      <c r="B10" s="79" t="inlineStr">
        <is>
          <t>Organic revenue</t>
        </is>
      </c>
      <c r="D10" s="125">
        <f>'Organic Build'!D34</f>
        <v/>
      </c>
      <c r="E10" s="125">
        <f>'Organic Build'!E34</f>
        <v/>
      </c>
      <c r="F10" s="125">
        <f>'Organic Build'!F34</f>
        <v/>
      </c>
      <c r="G10" s="125">
        <f>'Organic Build'!G34</f>
        <v/>
      </c>
      <c r="H10" s="125">
        <f>'Organic Build'!H34</f>
        <v/>
      </c>
      <c r="I10" s="125">
        <f>'Organic Build'!I34</f>
        <v/>
      </c>
      <c r="J10" s="125">
        <f>'Organic Build'!J34</f>
        <v/>
      </c>
      <c r="K10" s="125">
        <f>'Organic Build'!K34</f>
        <v/>
      </c>
      <c r="L10" s="125">
        <f>'Organic Build'!L34</f>
        <v/>
      </c>
      <c r="M10" s="125">
        <f>'Organic Build'!M34</f>
        <v/>
      </c>
      <c r="N10" s="125">
        <f>'Organic Build'!N34</f>
        <v/>
      </c>
    </row>
    <row r="11" ht="15" customHeight="1" s="74">
      <c r="B11" s="79" t="inlineStr">
        <is>
          <t>Acquired revenue</t>
        </is>
      </c>
      <c r="D11" s="125">
        <f>Acquisitions!D31</f>
        <v/>
      </c>
      <c r="E11" s="125">
        <f>Acquisitions!E31</f>
        <v/>
      </c>
      <c r="F11" s="125">
        <f>Acquisitions!F31</f>
        <v/>
      </c>
      <c r="G11" s="125">
        <f>Acquisitions!G31</f>
        <v/>
      </c>
      <c r="H11" s="125">
        <f>Acquisitions!H31</f>
        <v/>
      </c>
      <c r="I11" s="125">
        <f>Acquisitions!I31</f>
        <v/>
      </c>
      <c r="J11" s="125">
        <f>Acquisitions!J31</f>
        <v/>
      </c>
      <c r="K11" s="125">
        <f>Acquisitions!K31</f>
        <v/>
      </c>
      <c r="L11" s="125">
        <f>Acquisitions!L31</f>
        <v/>
      </c>
      <c r="M11" s="125">
        <f>Acquisitions!M31</f>
        <v/>
      </c>
      <c r="N11" s="125">
        <f>Acquisitions!N31</f>
        <v/>
      </c>
    </row>
    <row r="12" ht="15" customHeight="1" s="74">
      <c r="B12" s="83" t="inlineStr">
        <is>
          <t>TOTAL REVENUE</t>
        </is>
      </c>
      <c r="D12" s="120">
        <f>D10+D11</f>
        <v/>
      </c>
      <c r="E12" s="120">
        <f>E10+E11</f>
        <v/>
      </c>
      <c r="F12" s="120">
        <f>F10+F11</f>
        <v/>
      </c>
      <c r="G12" s="120">
        <f>G10+G11</f>
        <v/>
      </c>
      <c r="H12" s="120">
        <f>H10+H11</f>
        <v/>
      </c>
      <c r="I12" s="120">
        <f>I10+I11</f>
        <v/>
      </c>
      <c r="J12" s="120">
        <f>J10+J11</f>
        <v/>
      </c>
      <c r="K12" s="120">
        <f>K10+K11</f>
        <v/>
      </c>
      <c r="L12" s="120">
        <f>L10+L11</f>
        <v/>
      </c>
      <c r="M12" s="120">
        <f>M10+M11</f>
        <v/>
      </c>
      <c r="N12" s="120">
        <f>N10+N11</f>
        <v/>
      </c>
    </row>
    <row r="13" ht="15" customHeight="1" s="74">
      <c r="B13" s="79" t="inlineStr">
        <is>
          <t>Growth y/y</t>
        </is>
      </c>
      <c r="D13" s="111" t="n"/>
      <c r="E13" s="111">
        <f>IF(D12=0,0,E12/D12-1)</f>
        <v/>
      </c>
      <c r="F13" s="111">
        <f>IF(E12=0,0,F12/E12-1)</f>
        <v/>
      </c>
      <c r="G13" s="111">
        <f>IF(F12=0,0,G12/F12-1)</f>
        <v/>
      </c>
      <c r="H13" s="111">
        <f>IF(G12=0,0,H12/G12-1)</f>
        <v/>
      </c>
      <c r="I13" s="111">
        <f>IF(H12=0,0,I12/H12-1)</f>
        <v/>
      </c>
      <c r="J13" s="111">
        <f>IF(I12=0,0,J12/I12-1)</f>
        <v/>
      </c>
      <c r="K13" s="111">
        <f>IF(J12=0,0,K12/J12-1)</f>
        <v/>
      </c>
      <c r="L13" s="111">
        <f>IF(K12=0,0,L12/K12-1)</f>
        <v/>
      </c>
      <c r="M13" s="111">
        <f>IF(L12=0,0,M12/L12-1)</f>
        <v/>
      </c>
      <c r="N13" s="111">
        <f>IF(M12=0,0,N12/M12-1)</f>
        <v/>
      </c>
    </row>
    <row r="14" ht="15" customHeight="1" s="74">
      <c r="B14" s="79" t="inlineStr">
        <is>
          <t>Acquired share of revenue</t>
        </is>
      </c>
      <c r="D14" s="111">
        <f>IF(D12=0,0,D11/D12)</f>
        <v/>
      </c>
      <c r="E14" s="111">
        <f>IF(E12=0,0,E11/E12)</f>
        <v/>
      </c>
      <c r="F14" s="111">
        <f>IF(F12=0,0,F11/F12)</f>
        <v/>
      </c>
      <c r="G14" s="111">
        <f>IF(G12=0,0,G11/G12)</f>
        <v/>
      </c>
      <c r="H14" s="111">
        <f>IF(H12=0,0,H11/H12)</f>
        <v/>
      </c>
      <c r="I14" s="111">
        <f>IF(I12=0,0,I11/I12)</f>
        <v/>
      </c>
      <c r="J14" s="111">
        <f>IF(J12=0,0,J11/J12)</f>
        <v/>
      </c>
      <c r="K14" s="111">
        <f>IF(K12=0,0,K11/K12)</f>
        <v/>
      </c>
      <c r="L14" s="111">
        <f>IF(L12=0,0,L11/L12)</f>
        <v/>
      </c>
      <c r="M14" s="111">
        <f>IF(M12=0,0,M11/M12)</f>
        <v/>
      </c>
      <c r="N14" s="111">
        <f>IF(N12=0,0,N11/N12)</f>
        <v/>
      </c>
    </row>
    <row r="16" ht="15" customHeight="1" s="74">
      <c r="B16" s="86" t="inlineStr">
        <is>
          <t>EBITDA</t>
        </is>
      </c>
      <c r="C16" s="87" t="n"/>
      <c r="D16" s="87" t="n"/>
      <c r="E16" s="87" t="n"/>
      <c r="F16" s="87" t="n"/>
      <c r="G16" s="87" t="n"/>
      <c r="H16" s="87" t="n"/>
      <c r="I16" s="87" t="n"/>
      <c r="J16" s="87" t="n"/>
      <c r="K16" s="87" t="n"/>
      <c r="L16" s="87" t="n"/>
      <c r="M16" s="87" t="n"/>
      <c r="N16" s="87" t="n"/>
    </row>
    <row r="17" ht="15" customHeight="1" s="74">
      <c r="B17" s="79" t="inlineStr">
        <is>
          <t>Organic contribution</t>
        </is>
      </c>
      <c r="D17" s="125">
        <f>'Organic Build'!D35</f>
        <v/>
      </c>
      <c r="E17" s="125">
        <f>'Organic Build'!E35</f>
        <v/>
      </c>
      <c r="F17" s="125">
        <f>'Organic Build'!F35</f>
        <v/>
      </c>
      <c r="G17" s="125">
        <f>'Organic Build'!G35</f>
        <v/>
      </c>
      <c r="H17" s="125">
        <f>'Organic Build'!H35</f>
        <v/>
      </c>
      <c r="I17" s="125">
        <f>'Organic Build'!I35</f>
        <v/>
      </c>
      <c r="J17" s="125">
        <f>'Organic Build'!J35</f>
        <v/>
      </c>
      <c r="K17" s="125">
        <f>'Organic Build'!K35</f>
        <v/>
      </c>
      <c r="L17" s="125">
        <f>'Organic Build'!L35</f>
        <v/>
      </c>
      <c r="M17" s="125">
        <f>'Organic Build'!M35</f>
        <v/>
      </c>
      <c r="N17" s="125">
        <f>'Organic Build'!N35</f>
        <v/>
      </c>
    </row>
    <row r="18" ht="15" customHeight="1" s="74">
      <c r="B18" s="79" t="inlineStr">
        <is>
          <t>Acquired EBITDA</t>
        </is>
      </c>
      <c r="D18" s="125">
        <f>Acquisitions!D41</f>
        <v/>
      </c>
      <c r="E18" s="125">
        <f>Acquisitions!E41</f>
        <v/>
      </c>
      <c r="F18" s="125">
        <f>Acquisitions!F41</f>
        <v/>
      </c>
      <c r="G18" s="125">
        <f>Acquisitions!G41</f>
        <v/>
      </c>
      <c r="H18" s="125">
        <f>Acquisitions!H41</f>
        <v/>
      </c>
      <c r="I18" s="125">
        <f>Acquisitions!I41</f>
        <v/>
      </c>
      <c r="J18" s="125">
        <f>Acquisitions!J41</f>
        <v/>
      </c>
      <c r="K18" s="125">
        <f>Acquisitions!K41</f>
        <v/>
      </c>
      <c r="L18" s="125">
        <f>Acquisitions!L41</f>
        <v/>
      </c>
      <c r="M18" s="125">
        <f>Acquisitions!M41</f>
        <v/>
      </c>
      <c r="N18" s="125">
        <f>Acquisitions!N41</f>
        <v/>
      </c>
    </row>
    <row r="19" ht="15" customHeight="1" s="74">
      <c r="B19" s="79" t="inlineStr">
        <is>
          <t>Corporate platform cost (Y0: bottom-up build) / margin-case override adjustment (Y1–Y10, sized to Inputs I93 target margin)</t>
        </is>
      </c>
      <c r="D19" s="125">
        <f>-(Inputs!D83*Inputs!$C$26+D11*Inputs!$C$27)</f>
        <v/>
      </c>
      <c r="E19" s="125">
        <f>Inputs!E95*E12-E17-E18-E20</f>
        <v/>
      </c>
      <c r="F19" s="125">
        <f>Inputs!F95*F12-F17-F18-F20</f>
        <v/>
      </c>
      <c r="G19" s="125">
        <f>Inputs!G95*G12-G17-G18-G20</f>
        <v/>
      </c>
      <c r="H19" s="125">
        <f>Inputs!H95*H12-H17-H18-H20</f>
        <v/>
      </c>
      <c r="I19" s="125">
        <f>Inputs!I95*I12-I17-I18-I20</f>
        <v/>
      </c>
      <c r="J19" s="125">
        <f>Inputs!J95*J12-J17-J18-J20</f>
        <v/>
      </c>
      <c r="K19" s="125">
        <f>Inputs!K95*K12-K17-K18-K20</f>
        <v/>
      </c>
      <c r="L19" s="125">
        <f>Inputs!L95*L12-L17-L18-L20</f>
        <v/>
      </c>
      <c r="M19" s="125">
        <f>Inputs!M95*M12-M17-M18-M20</f>
        <v/>
      </c>
      <c r="N19" s="125">
        <f>Inputs!N95*N12-N17-N18-N20</f>
        <v/>
      </c>
    </row>
    <row r="20" ht="15" customHeight="1" s="74">
      <c r="B20" s="79" t="inlineStr">
        <is>
          <t>Development &amp; partnership programmes (expensed)</t>
        </is>
      </c>
      <c r="D20" s="125">
        <f>-Inputs!D89*Inputs!$C$39</f>
        <v/>
      </c>
      <c r="E20" s="125">
        <f>-Inputs!E89*Inputs!$C$39</f>
        <v/>
      </c>
      <c r="F20" s="125">
        <f>-Inputs!F89*Inputs!$C$39</f>
        <v/>
      </c>
      <c r="G20" s="125">
        <f>-Inputs!G89*Inputs!$C$39</f>
        <v/>
      </c>
      <c r="H20" s="125">
        <f>-Inputs!H89*Inputs!$C$39</f>
        <v/>
      </c>
      <c r="I20" s="125">
        <f>-Inputs!I89*Inputs!$C$39</f>
        <v/>
      </c>
      <c r="J20" s="125">
        <f>-Inputs!J89*Inputs!$C$39</f>
        <v/>
      </c>
      <c r="K20" s="125">
        <f>-Inputs!K89*Inputs!$C$39</f>
        <v/>
      </c>
      <c r="L20" s="125">
        <f>-Inputs!L89*Inputs!$C$39</f>
        <v/>
      </c>
      <c r="M20" s="125">
        <f>-Inputs!M89*Inputs!$C$39</f>
        <v/>
      </c>
      <c r="N20" s="125">
        <f>-Inputs!N89*Inputs!$C$39</f>
        <v/>
      </c>
    </row>
    <row r="21" ht="15" customHeight="1" s="74">
      <c r="B21" s="79" t="inlineStr">
        <is>
          <t>Integration costs (one-off)</t>
        </is>
      </c>
      <c r="D21" s="125">
        <f>-Acquisitions!D45</f>
        <v/>
      </c>
      <c r="E21" s="125">
        <f>-Acquisitions!E45</f>
        <v/>
      </c>
      <c r="F21" s="125">
        <f>-Acquisitions!F45</f>
        <v/>
      </c>
      <c r="G21" s="125">
        <f>-Acquisitions!G45</f>
        <v/>
      </c>
      <c r="H21" s="125">
        <f>-Acquisitions!H45</f>
        <v/>
      </c>
      <c r="I21" s="125">
        <f>-Acquisitions!I45</f>
        <v/>
      </c>
      <c r="J21" s="125">
        <f>-Acquisitions!J45</f>
        <v/>
      </c>
      <c r="K21" s="125">
        <f>-Acquisitions!K45</f>
        <v/>
      </c>
      <c r="L21" s="125">
        <f>-Acquisitions!L45</f>
        <v/>
      </c>
      <c r="M21" s="125">
        <f>-Acquisitions!M45</f>
        <v/>
      </c>
      <c r="N21" s="125">
        <f>-Acquisitions!N45</f>
        <v/>
      </c>
    </row>
    <row r="22" ht="15" customHeight="1" s="74">
      <c r="B22" s="83" t="inlineStr">
        <is>
          <t>EBITDA (reported, after one-offs)</t>
        </is>
      </c>
      <c r="D22" s="120">
        <f>SUM(D17:D21)</f>
        <v/>
      </c>
      <c r="E22" s="120">
        <f>SUM(E17:E21)</f>
        <v/>
      </c>
      <c r="F22" s="120">
        <f>SUM(F17:F21)</f>
        <v/>
      </c>
      <c r="G22" s="120">
        <f>SUM(G17:G21)</f>
        <v/>
      </c>
      <c r="H22" s="120">
        <f>SUM(H17:H21)</f>
        <v/>
      </c>
      <c r="I22" s="120">
        <f>SUM(I17:I21)</f>
        <v/>
      </c>
      <c r="J22" s="120">
        <f>SUM(J17:J21)</f>
        <v/>
      </c>
      <c r="K22" s="120">
        <f>SUM(K17:K21)</f>
        <v/>
      </c>
      <c r="L22" s="120">
        <f>SUM(L17:L21)</f>
        <v/>
      </c>
      <c r="M22" s="120">
        <f>SUM(M17:M21)</f>
        <v/>
      </c>
      <c r="N22" s="120">
        <f>SUM(N17:N21)</f>
        <v/>
      </c>
    </row>
    <row r="23" ht="15" customHeight="1" s="74">
      <c r="B23" s="83" t="inlineStr">
        <is>
          <t>Adjusted EBITDA (before integration one-offs)</t>
        </is>
      </c>
      <c r="D23" s="110">
        <f>D22-D21</f>
        <v/>
      </c>
      <c r="E23" s="110">
        <f>E22-E21</f>
        <v/>
      </c>
      <c r="F23" s="110">
        <f>F22-F21</f>
        <v/>
      </c>
      <c r="G23" s="110">
        <f>G22-G21</f>
        <v/>
      </c>
      <c r="H23" s="110">
        <f>H22-H21</f>
        <v/>
      </c>
      <c r="I23" s="110">
        <f>I22-I21</f>
        <v/>
      </c>
      <c r="J23" s="110">
        <f>J22-J21</f>
        <v/>
      </c>
      <c r="K23" s="110">
        <f>K22-K21</f>
        <v/>
      </c>
      <c r="L23" s="110">
        <f>L22-L21</f>
        <v/>
      </c>
      <c r="M23" s="110">
        <f>M22-M21</f>
        <v/>
      </c>
      <c r="N23" s="110">
        <f>N22-N21</f>
        <v/>
      </c>
    </row>
    <row r="24" ht="15" customHeight="1" s="74">
      <c r="B24" s="79" t="inlineStr">
        <is>
          <t>Adjusted EBITDA margin</t>
        </is>
      </c>
      <c r="D24" s="111">
        <f>IF(D12=0,0,D23/D12)</f>
        <v/>
      </c>
      <c r="E24" s="111">
        <f>IF(E12=0,0,E23/E12)</f>
        <v/>
      </c>
      <c r="F24" s="111">
        <f>IF(F12=0,0,F23/F12)</f>
        <v/>
      </c>
      <c r="G24" s="111">
        <f>IF(G12=0,0,G23/G12)</f>
        <v/>
      </c>
      <c r="H24" s="111">
        <f>IF(H12=0,0,H23/H12)</f>
        <v/>
      </c>
      <c r="I24" s="111">
        <f>IF(I12=0,0,I23/I12)</f>
        <v/>
      </c>
      <c r="J24" s="111">
        <f>IF(J12=0,0,J23/J12)</f>
        <v/>
      </c>
      <c r="K24" s="111">
        <f>IF(K12=0,0,K23/K12)</f>
        <v/>
      </c>
      <c r="L24" s="111">
        <f>IF(L12=0,0,L23/L12)</f>
        <v/>
      </c>
      <c r="M24" s="111">
        <f>IF(M12=0,0,M23/M12)</f>
        <v/>
      </c>
      <c r="N24" s="111">
        <f>IF(N12=0,0,N23/N12)</f>
        <v/>
      </c>
    </row>
    <row r="26" ht="15" customHeight="1" s="74">
      <c r="B26" s="86" t="inlineStr">
        <is>
          <t>Cash flow and capital requirement</t>
        </is>
      </c>
      <c r="C26" s="87" t="n"/>
      <c r="D26" s="87" t="n"/>
      <c r="E26" s="87" t="n"/>
      <c r="F26" s="87" t="n"/>
      <c r="G26" s="87" t="n"/>
      <c r="H26" s="87" t="n"/>
      <c r="I26" s="87" t="n"/>
      <c r="J26" s="87" t="n"/>
      <c r="K26" s="87" t="n"/>
      <c r="L26" s="87" t="n"/>
      <c r="M26" s="87" t="n"/>
      <c r="N26" s="87" t="n"/>
    </row>
    <row r="27" ht="15" customHeight="1" s="74">
      <c r="B27" s="79" t="inlineStr">
        <is>
          <t>Cash taxes (on positive EBITDA less D&amp;A; simplified)</t>
        </is>
      </c>
      <c r="D27" s="114">
        <f>-MAX(0,D22-D12*Inputs!$C$41)*Inputs!$C$40</f>
        <v/>
      </c>
      <c r="E27" s="114">
        <f>-MAX(0,E22-E12*Inputs!$C$41)*Inputs!$C$40</f>
        <v/>
      </c>
      <c r="F27" s="114">
        <f>-MAX(0,F22-F12*Inputs!$C$41)*Inputs!$C$40</f>
        <v/>
      </c>
      <c r="G27" s="114">
        <f>-MAX(0,G22-G12*Inputs!$C$41)*Inputs!$C$40</f>
        <v/>
      </c>
      <c r="H27" s="114">
        <f>-MAX(0,H22-H12*Inputs!$C$41)*Inputs!$C$40</f>
        <v/>
      </c>
      <c r="I27" s="114">
        <f>-MAX(0,I22-I12*Inputs!$C$41)*Inputs!$C$40</f>
        <v/>
      </c>
      <c r="J27" s="114">
        <f>-MAX(0,J22-J12*Inputs!$C$41)*Inputs!$C$40</f>
        <v/>
      </c>
      <c r="K27" s="114">
        <f>-MAX(0,K22-K12*Inputs!$C$41)*Inputs!$C$40</f>
        <v/>
      </c>
      <c r="L27" s="114">
        <f>-MAX(0,L22-L12*Inputs!$C$41)*Inputs!$C$40</f>
        <v/>
      </c>
      <c r="M27" s="114">
        <f>-MAX(0,M22-M12*Inputs!$C$41)*Inputs!$C$40</f>
        <v/>
      </c>
      <c r="N27" s="114">
        <f>-MAX(0,N22-N12*Inputs!$C$41)*Inputs!$C$40</f>
        <v/>
      </c>
    </row>
    <row r="28" ht="15" customHeight="1" s="74">
      <c r="B28" s="79" t="inlineStr">
        <is>
          <t>Fleet capex (units built for own operation)</t>
        </is>
      </c>
      <c r="D28" s="114">
        <f>0</f>
        <v/>
      </c>
      <c r="E28" s="114">
        <f>-'Organic Build'!E10*Inputs!$C$36</f>
        <v/>
      </c>
      <c r="F28" s="114">
        <f>-'Organic Build'!F10*Inputs!$C$36</f>
        <v/>
      </c>
      <c r="G28" s="114">
        <f>-'Organic Build'!G10*Inputs!$C$36</f>
        <v/>
      </c>
      <c r="H28" s="114">
        <f>-'Organic Build'!H10*Inputs!$C$36</f>
        <v/>
      </c>
      <c r="I28" s="114">
        <f>-'Organic Build'!I10*Inputs!$C$36</f>
        <v/>
      </c>
      <c r="J28" s="114">
        <f>-'Organic Build'!J10*Inputs!$C$36</f>
        <v/>
      </c>
      <c r="K28" s="114">
        <f>-'Organic Build'!K10*Inputs!$C$36</f>
        <v/>
      </c>
      <c r="L28" s="114">
        <f>-'Organic Build'!L10*Inputs!$C$36</f>
        <v/>
      </c>
      <c r="M28" s="114">
        <f>-'Organic Build'!M10*Inputs!$C$36</f>
        <v/>
      </c>
      <c r="N28" s="114">
        <f>-'Organic Build'!N10*Inputs!$C$36</f>
        <v/>
      </c>
    </row>
    <row r="29" ht="15" customHeight="1" s="74">
      <c r="B29" s="79" t="inlineStr">
        <is>
          <t>Maintenance capex</t>
        </is>
      </c>
      <c r="D29" s="114">
        <f>-D12*Inputs!$C$37</f>
        <v/>
      </c>
      <c r="E29" s="114">
        <f>-E12*Inputs!$C$37</f>
        <v/>
      </c>
      <c r="F29" s="114">
        <f>-F12*Inputs!$C$37</f>
        <v/>
      </c>
      <c r="G29" s="114">
        <f>-G12*Inputs!$C$37</f>
        <v/>
      </c>
      <c r="H29" s="114">
        <f>-H12*Inputs!$C$37</f>
        <v/>
      </c>
      <c r="I29" s="114">
        <f>-I12*Inputs!$C$37</f>
        <v/>
      </c>
      <c r="J29" s="114">
        <f>-J12*Inputs!$C$37</f>
        <v/>
      </c>
      <c r="K29" s="114">
        <f>-K12*Inputs!$C$37</f>
        <v/>
      </c>
      <c r="L29" s="114">
        <f>-L12*Inputs!$C$37</f>
        <v/>
      </c>
      <c r="M29" s="114">
        <f>-M12*Inputs!$C$37</f>
        <v/>
      </c>
      <c r="N29" s="114">
        <f>-N12*Inputs!$C$37</f>
        <v/>
      </c>
    </row>
    <row r="30" ht="15" customHeight="1" s="74">
      <c r="B30" s="79" t="inlineStr">
        <is>
          <t>Working capital investment</t>
        </is>
      </c>
      <c r="D30" s="114">
        <f>0</f>
        <v/>
      </c>
      <c r="E30" s="114">
        <f>-MAX(0,E12-D12)*Inputs!$C$38</f>
        <v/>
      </c>
      <c r="F30" s="114">
        <f>-MAX(0,F12-E12)*Inputs!$C$38</f>
        <v/>
      </c>
      <c r="G30" s="114">
        <f>-MAX(0,G12-F12)*Inputs!$C$38</f>
        <v/>
      </c>
      <c r="H30" s="114">
        <f>-MAX(0,H12-G12)*Inputs!$C$38</f>
        <v/>
      </c>
      <c r="I30" s="114">
        <f>-MAX(0,I12-H12)*Inputs!$C$38</f>
        <v/>
      </c>
      <c r="J30" s="114">
        <f>-MAX(0,J12-I12)*Inputs!$C$38</f>
        <v/>
      </c>
      <c r="K30" s="114">
        <f>-MAX(0,K12-J12)*Inputs!$C$38</f>
        <v/>
      </c>
      <c r="L30" s="114">
        <f>-MAX(0,L12-K12)*Inputs!$C$38</f>
        <v/>
      </c>
      <c r="M30" s="114">
        <f>-MAX(0,M12-L12)*Inputs!$C$38</f>
        <v/>
      </c>
      <c r="N30" s="114">
        <f>-MAX(0,N12-M12)*Inputs!$C$38</f>
        <v/>
      </c>
    </row>
    <row r="31" ht="15" customHeight="1" s="74">
      <c r="B31" s="79" t="inlineStr">
        <is>
          <t>Acquisition consideration</t>
        </is>
      </c>
      <c r="D31" s="125">
        <f>-Acquisitions!D44</f>
        <v/>
      </c>
      <c r="E31" s="125">
        <f>-Acquisitions!E44</f>
        <v/>
      </c>
      <c r="F31" s="125">
        <f>-Acquisitions!F44</f>
        <v/>
      </c>
      <c r="G31" s="125">
        <f>-Acquisitions!G44</f>
        <v/>
      </c>
      <c r="H31" s="125">
        <f>-Acquisitions!H44</f>
        <v/>
      </c>
      <c r="I31" s="125">
        <f>-Acquisitions!I44</f>
        <v/>
      </c>
      <c r="J31" s="125">
        <f>-Acquisitions!J44</f>
        <v/>
      </c>
      <c r="K31" s="125">
        <f>-Acquisitions!K44</f>
        <v/>
      </c>
      <c r="L31" s="125">
        <f>-Acquisitions!L44</f>
        <v/>
      </c>
      <c r="M31" s="125">
        <f>-Acquisitions!M44</f>
        <v/>
      </c>
      <c r="N31" s="125">
        <f>-Acquisitions!N44</f>
        <v/>
      </c>
    </row>
    <row r="32" ht="15" customHeight="1" s="74">
      <c r="B32" s="83" t="inlineStr">
        <is>
          <t>Net cash flow before financing</t>
        </is>
      </c>
      <c r="D32" s="120">
        <f>D22+SUM(D27:D31)</f>
        <v/>
      </c>
      <c r="E32" s="120">
        <f>E22+SUM(E27:E31)</f>
        <v/>
      </c>
      <c r="F32" s="120">
        <f>F22+SUM(F27:F31)</f>
        <v/>
      </c>
      <c r="G32" s="120">
        <f>G22+SUM(G27:G31)</f>
        <v/>
      </c>
      <c r="H32" s="120">
        <f>H22+SUM(H27:H31)</f>
        <v/>
      </c>
      <c r="I32" s="120">
        <f>I22+SUM(I27:I31)</f>
        <v/>
      </c>
      <c r="J32" s="120">
        <f>J22+SUM(J27:J31)</f>
        <v/>
      </c>
      <c r="K32" s="120">
        <f>K22+SUM(K27:K31)</f>
        <v/>
      </c>
      <c r="L32" s="120">
        <f>L22+SUM(L27:L31)</f>
        <v/>
      </c>
      <c r="M32" s="120">
        <f>M22+SUM(M27:M31)</f>
        <v/>
      </c>
      <c r="N32" s="120">
        <f>N22+SUM(N27:N31)</f>
        <v/>
      </c>
    </row>
    <row r="33" ht="15" customHeight="1" s="74">
      <c r="B33" s="79" t="inlineStr">
        <is>
          <t>Cumulative cash flow before financing (from opening cash)</t>
        </is>
      </c>
      <c r="D33" s="114">
        <f>Baseline!$D$33+D32</f>
        <v/>
      </c>
      <c r="E33" s="114">
        <f>D33+E32</f>
        <v/>
      </c>
      <c r="F33" s="114">
        <f>E33+F32</f>
        <v/>
      </c>
      <c r="G33" s="114">
        <f>F33+G32</f>
        <v/>
      </c>
      <c r="H33" s="114">
        <f>G33+H32</f>
        <v/>
      </c>
      <c r="I33" s="114">
        <f>H33+I32</f>
        <v/>
      </c>
      <c r="J33" s="114">
        <f>I33+J32</f>
        <v/>
      </c>
      <c r="K33" s="114">
        <f>J33+K32</f>
        <v/>
      </c>
      <c r="L33" s="114">
        <f>K33+L32</f>
        <v/>
      </c>
      <c r="M33" s="114">
        <f>L33+M32</f>
        <v/>
      </c>
      <c r="N33" s="114">
        <f>M33+N32</f>
        <v/>
      </c>
    </row>
    <row r="34" ht="15" customHeight="1" s="74">
      <c r="B34" s="83" t="inlineStr">
        <is>
          <t>Equity funding drawn in year (to keep cash ≥ 0)</t>
        </is>
      </c>
      <c r="D34" s="110">
        <f>MAX(0,-D33)</f>
        <v/>
      </c>
      <c r="E34" s="110">
        <f>MAX(0,-(D36+E32))</f>
        <v/>
      </c>
      <c r="F34" s="110">
        <f>MAX(0,-(E36+F32))</f>
        <v/>
      </c>
      <c r="G34" s="110">
        <f>MAX(0,-(F36+G32))</f>
        <v/>
      </c>
      <c r="H34" s="110">
        <f>MAX(0,-(G36+H32))</f>
        <v/>
      </c>
      <c r="I34" s="110">
        <f>MAX(0,-(H36+I32))</f>
        <v/>
      </c>
      <c r="J34" s="110">
        <f>MAX(0,-(I36+J32))</f>
        <v/>
      </c>
      <c r="K34" s="110">
        <f>MAX(0,-(J36+K32))</f>
        <v/>
      </c>
      <c r="L34" s="110">
        <f>MAX(0,-(K36+L32))</f>
        <v/>
      </c>
      <c r="M34" s="110">
        <f>MAX(0,-(L36+M32))</f>
        <v/>
      </c>
      <c r="N34" s="110">
        <f>MAX(0,-(M36+N32))</f>
        <v/>
      </c>
    </row>
    <row r="35" ht="15" customHeight="1" s="74">
      <c r="B35" s="83" t="inlineStr">
        <is>
          <t>Cumulative equity funding drawn</t>
        </is>
      </c>
      <c r="D35" s="110">
        <f>D34</f>
        <v/>
      </c>
      <c r="E35" s="110">
        <f>D35+E34</f>
        <v/>
      </c>
      <c r="F35" s="110">
        <f>E35+F34</f>
        <v/>
      </c>
      <c r="G35" s="110">
        <f>F35+G34</f>
        <v/>
      </c>
      <c r="H35" s="110">
        <f>G35+H34</f>
        <v/>
      </c>
      <c r="I35" s="110">
        <f>H35+I34</f>
        <v/>
      </c>
      <c r="J35" s="110">
        <f>I35+J34</f>
        <v/>
      </c>
      <c r="K35" s="110">
        <f>J35+K34</f>
        <v/>
      </c>
      <c r="L35" s="110">
        <f>K35+L34</f>
        <v/>
      </c>
      <c r="M35" s="110">
        <f>L35+M34</f>
        <v/>
      </c>
      <c r="N35" s="110">
        <f>M35+N34</f>
        <v/>
      </c>
    </row>
    <row r="36" ht="15" customHeight="1" s="74">
      <c r="B36" s="79" t="inlineStr">
        <is>
          <t>Closing cash</t>
        </is>
      </c>
      <c r="D36" s="114">
        <f>Baseline!$D$33+D32+D34</f>
        <v/>
      </c>
      <c r="E36" s="114">
        <f>D36+E32+E34</f>
        <v/>
      </c>
      <c r="F36" s="114">
        <f>E36+F32+F34</f>
        <v/>
      </c>
      <c r="G36" s="114">
        <f>F36+G32+G34</f>
        <v/>
      </c>
      <c r="H36" s="114">
        <f>G36+H32+H34</f>
        <v/>
      </c>
      <c r="I36" s="114">
        <f>H36+I32+I34</f>
        <v/>
      </c>
      <c r="J36" s="114">
        <f>I36+J32+J34</f>
        <v/>
      </c>
      <c r="K36" s="114">
        <f>J36+K32+K34</f>
        <v/>
      </c>
      <c r="L36" s="114">
        <f>K36+L32+L34</f>
        <v/>
      </c>
      <c r="M36" s="114">
        <f>L36+M32+M34</f>
        <v/>
      </c>
      <c r="N36" s="114">
        <f>M36+N32+N34</f>
        <v/>
      </c>
    </row>
    <row r="38" ht="15" customHeight="1" s="74">
      <c r="B38" s="86" t="inlineStr">
        <is>
          <t>Capital required by phase (equity funding drawn) — the use-of-proceeds logic</t>
        </is>
      </c>
      <c r="C38" s="87" t="n"/>
      <c r="D38" s="87" t="n"/>
      <c r="E38" s="87" t="n"/>
      <c r="F38" s="87" t="n"/>
      <c r="G38" s="87" t="n"/>
      <c r="H38" s="87" t="n"/>
      <c r="I38" s="87" t="n"/>
      <c r="J38" s="87" t="n"/>
      <c r="K38" s="87" t="n"/>
      <c r="L38" s="87" t="n"/>
      <c r="M38" s="87" t="n"/>
      <c r="N38" s="87" t="n"/>
    </row>
    <row r="39" ht="15" customHeight="1" s="74">
      <c r="B39" s="83" t="inlineStr">
        <is>
          <t>Phase</t>
        </is>
      </c>
      <c r="C39" s="83" t="inlineStr">
        <is>
          <t>Years</t>
        </is>
      </c>
      <c r="D39" s="83" t="inlineStr">
        <is>
          <t>USD M</t>
        </is>
      </c>
      <c r="F39" s="83" t="inlineStr">
        <is>
          <t>What it funds</t>
        </is>
      </c>
    </row>
    <row r="40" ht="15" customHeight="1" s="74">
      <c r="B40" s="79" t="inlineStr">
        <is>
          <t>Phase 1 — Operate the foothold</t>
        </is>
      </c>
      <c r="C40" s="79" t="inlineStr">
        <is>
          <t>2026–2027</t>
        </is>
      </c>
      <c r="D40" s="110">
        <f>SUM(D34:E34)</f>
        <v/>
      </c>
      <c r="F40" s="76" t="inlineStr">
        <is>
          <t>Fleet build-out, first allied programmes, development of the certification layer, platform team; first acquisitions negotiated.</t>
        </is>
      </c>
    </row>
    <row r="41" ht="15" customHeight="1" s="74">
      <c r="B41" s="79" t="inlineStr">
        <is>
          <t>Phase 2 — Assemble the core</t>
        </is>
      </c>
      <c r="C41" s="79" t="inlineStr">
        <is>
          <t>2028–2029</t>
        </is>
      </c>
      <c r="D41" s="110">
        <f>SUM(F34:G34)</f>
        <v/>
      </c>
      <c r="F41" s="76" t="inlineStr">
        <is>
          <t>First capability acquisitions (large-calibre demil, metals recovery, plant engineering), integration, partnerships.</t>
        </is>
      </c>
    </row>
    <row r="42" ht="15" customHeight="1" s="74">
      <c r="B42" s="79" t="inlineStr">
        <is>
          <t>Phase 3 — The sovereign full-service offer</t>
        </is>
      </c>
      <c r="C42" s="79" t="inlineStr">
        <is>
          <t>2030–2031</t>
        </is>
      </c>
      <c r="D42" s="110">
        <f>SUM(H34:I34)</f>
        <v/>
      </c>
      <c r="F42" s="76" t="inlineStr">
        <is>
          <t>Secure-destruction and European acquisitions; sovereign programme mobilisation; working capital.</t>
        </is>
      </c>
    </row>
    <row r="43" ht="15" customHeight="1" s="74">
      <c r="B43" s="79" t="inlineStr">
        <is>
          <t>Later years</t>
        </is>
      </c>
      <c r="C43" s="79" t="inlineStr">
        <is>
          <t>2032–2036</t>
        </is>
      </c>
      <c r="D43" s="110">
        <f>SUM(J34:N34)</f>
        <v/>
      </c>
      <c r="F43" s="76" t="inlineStr">
        <is>
          <t>Remaining acquisitions and growth — increasingly self-funded from platform cash flow.</t>
        </is>
      </c>
    </row>
    <row r="44" ht="15" customHeight="1" s="74">
      <c r="B44" s="83" t="inlineStr">
        <is>
          <t>Total equity funding drawn, 2026–2036</t>
        </is>
      </c>
      <c r="D44" s="110">
        <f>SUM(D40:D43)</f>
        <v/>
      </c>
    </row>
    <row r="45" ht="15" customHeight="1" s="74">
      <c r="B45" s="79" t="inlineStr">
        <is>
          <t>Of which acquisition consideration + integration</t>
        </is>
      </c>
      <c r="D45" s="114">
        <f>-SUM(D31:N31)-SUM(D21:N21)</f>
        <v/>
      </c>
    </row>
    <row r="46" ht="15" customHeight="1" s="74">
      <c r="B46" s="79" t="inlineStr">
        <is>
          <t>Memo: acquisition consideration if every deal priced at the revenue-multiple stress case</t>
        </is>
      </c>
      <c r="D46" s="123">
        <f>SUM(Acquisitions!D48:N48)</f>
        <v/>
      </c>
    </row>
    <row r="47" ht="15" customHeight="1" s="74">
      <c r="B47" s="79" t="inlineStr">
        <is>
          <t>Peak cumulative funding requirement</t>
        </is>
      </c>
      <c r="D47" s="110">
        <f>MAX(D35:N35)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CFCDC4"/>
    <outlinePr summaryBelow="1" summaryRight="1"/>
    <pageSetUpPr fitToPage="0"/>
  </sheetPr>
  <dimension ref="B2:N17"/>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3"/>
    <col width="11" customWidth="1" style="73" min="4" max="14"/>
  </cols>
  <sheetData>
    <row r="2" ht="17.25" customHeight="1" s="74">
      <c r="B2" s="75" t="inlineStr">
        <is>
          <t>Implied headcount (FTE)</t>
        </is>
      </c>
    </row>
    <row r="3" ht="15" customHeight="1" s="74">
      <c r="B3" s="76" t="inlineStr">
        <is>
          <t>Revenue-per-FTE planning benchmarks — ASSUMPTIONS; acquired businesses bring their own staff at lower revenue/FTE.</t>
        </is>
      </c>
    </row>
    <row r="6" ht="15" customHeight="1" s="74">
      <c r="B6" s="85" t="inlineStr">
        <is>
          <t>USD millions unless noted</t>
        </is>
      </c>
      <c r="C6" s="85" t="inlineStr">
        <is>
          <t>Input / note</t>
        </is>
      </c>
      <c r="D6" s="104" t="n">
        <v>2026</v>
      </c>
      <c r="E6" s="104" t="n">
        <v>2027</v>
      </c>
      <c r="F6" s="104" t="n">
        <v>2028</v>
      </c>
      <c r="G6" s="104" t="n">
        <v>2029</v>
      </c>
      <c r="H6" s="104" t="n">
        <v>2030</v>
      </c>
      <c r="I6" s="104" t="n">
        <v>2031</v>
      </c>
      <c r="J6" s="104" t="n">
        <v>2032</v>
      </c>
      <c r="K6" s="104" t="n">
        <v>2033</v>
      </c>
      <c r="L6" s="104" t="n">
        <v>2034</v>
      </c>
      <c r="M6" s="104" t="n">
        <v>2035</v>
      </c>
      <c r="N6" s="104" t="n">
        <v>2036</v>
      </c>
    </row>
    <row r="7" ht="15" customHeight="1" s="74">
      <c r="B7" s="105" t="inlineStr">
        <is>
          <t>Model year</t>
        </is>
      </c>
      <c r="D7" s="106" t="inlineStr">
        <is>
          <t>Y0</t>
        </is>
      </c>
      <c r="E7" s="106" t="inlineStr">
        <is>
          <t>Y1</t>
        </is>
      </c>
      <c r="F7" s="106" t="inlineStr">
        <is>
          <t>Y2</t>
        </is>
      </c>
      <c r="G7" s="106" t="inlineStr">
        <is>
          <t>Y3</t>
        </is>
      </c>
      <c r="H7" s="106" t="inlineStr">
        <is>
          <t>Y4</t>
        </is>
      </c>
      <c r="I7" s="106" t="inlineStr">
        <is>
          <t>Y5</t>
        </is>
      </c>
      <c r="J7" s="106" t="inlineStr">
        <is>
          <t>Y6</t>
        </is>
      </c>
      <c r="K7" s="106" t="inlineStr">
        <is>
          <t>Y7</t>
        </is>
      </c>
      <c r="L7" s="106" t="inlineStr">
        <is>
          <t>Y8</t>
        </is>
      </c>
      <c r="M7" s="106" t="inlineStr">
        <is>
          <t>Y9</t>
        </is>
      </c>
      <c r="N7" s="106" t="inlineStr">
        <is>
          <t>Y10</t>
        </is>
      </c>
    </row>
    <row r="9" ht="15" customHeight="1" s="74">
      <c r="B9" s="79" t="inlineStr">
        <is>
          <t>Organic revenue per FTE (USD k) — field-operations-heavy services</t>
        </is>
      </c>
      <c r="C9" s="107" t="n">
        <v>200</v>
      </c>
    </row>
    <row r="10" ht="15" customHeight="1" s="74">
      <c r="B10" s="79" t="inlineStr">
        <is>
          <t>Acquired-business revenue per FTE (USD k)</t>
        </is>
      </c>
      <c r="C10" s="107" t="n">
        <v>160</v>
      </c>
    </row>
    <row r="11" ht="15" customHeight="1" s="74">
      <c r="B11" s="79" t="inlineStr">
        <is>
          <t>Corporate cost per corporate FTE (USD k, fully loaded)</t>
        </is>
      </c>
      <c r="C11" s="107" t="n">
        <v>180</v>
      </c>
    </row>
    <row r="13" ht="15" customHeight="1" s="74">
      <c r="B13" s="79" t="inlineStr">
        <is>
          <t>Organic operations FTE</t>
        </is>
      </c>
      <c r="D13" s="115">
        <f>MAX(4,'P&amp;L &amp; Capital'!D10*1000/$C$9)</f>
        <v/>
      </c>
      <c r="E13" s="115">
        <f>MAX(4,'P&amp;L &amp; Capital'!E10*1000/$C$9)</f>
        <v/>
      </c>
      <c r="F13" s="115">
        <f>MAX(4,'P&amp;L &amp; Capital'!F10*1000/$C$9)</f>
        <v/>
      </c>
      <c r="G13" s="115">
        <f>MAX(4,'P&amp;L &amp; Capital'!G10*1000/$C$9)</f>
        <v/>
      </c>
      <c r="H13" s="115">
        <f>MAX(4,'P&amp;L &amp; Capital'!H10*1000/$C$9)</f>
        <v/>
      </c>
      <c r="I13" s="115">
        <f>MAX(4,'P&amp;L &amp; Capital'!I10*1000/$C$9)</f>
        <v/>
      </c>
      <c r="J13" s="115">
        <f>MAX(4,'P&amp;L &amp; Capital'!J10*1000/$C$9)</f>
        <v/>
      </c>
      <c r="K13" s="115">
        <f>MAX(4,'P&amp;L &amp; Capital'!K10*1000/$C$9)</f>
        <v/>
      </c>
      <c r="L13" s="115">
        <f>MAX(4,'P&amp;L &amp; Capital'!L10*1000/$C$9)</f>
        <v/>
      </c>
      <c r="M13" s="115">
        <f>MAX(4,'P&amp;L &amp; Capital'!M10*1000/$C$9)</f>
        <v/>
      </c>
      <c r="N13" s="115">
        <f>MAX(4,'P&amp;L &amp; Capital'!N10*1000/$C$9)</f>
        <v/>
      </c>
    </row>
    <row r="14" ht="15" customHeight="1" s="74">
      <c r="B14" s="79" t="inlineStr">
        <is>
          <t>Acquired-business FTE</t>
        </is>
      </c>
      <c r="D14" s="115">
        <f>'P&amp;L &amp; Capital'!D11*1000/$C$10</f>
        <v/>
      </c>
      <c r="E14" s="115">
        <f>'P&amp;L &amp; Capital'!E11*1000/$C$10</f>
        <v/>
      </c>
      <c r="F14" s="115">
        <f>'P&amp;L &amp; Capital'!F11*1000/$C$10</f>
        <v/>
      </c>
      <c r="G14" s="115">
        <f>'P&amp;L &amp; Capital'!G11*1000/$C$10</f>
        <v/>
      </c>
      <c r="H14" s="115">
        <f>'P&amp;L &amp; Capital'!H11*1000/$C$10</f>
        <v/>
      </c>
      <c r="I14" s="115">
        <f>'P&amp;L &amp; Capital'!I11*1000/$C$10</f>
        <v/>
      </c>
      <c r="J14" s="115">
        <f>'P&amp;L &amp; Capital'!J11*1000/$C$10</f>
        <v/>
      </c>
      <c r="K14" s="115">
        <f>'P&amp;L &amp; Capital'!K11*1000/$C$10</f>
        <v/>
      </c>
      <c r="L14" s="115">
        <f>'P&amp;L &amp; Capital'!L11*1000/$C$10</f>
        <v/>
      </c>
      <c r="M14" s="115">
        <f>'P&amp;L &amp; Capital'!M11*1000/$C$10</f>
        <v/>
      </c>
      <c r="N14" s="115">
        <f>'P&amp;L &amp; Capital'!N11*1000/$C$10</f>
        <v/>
      </c>
    </row>
    <row r="15" ht="15" customHeight="1" s="74">
      <c r="B15" s="79" t="inlineStr">
        <is>
          <t>Corporate / platform FTE</t>
        </is>
      </c>
      <c r="D15" s="115">
        <f>-'P&amp;L &amp; Capital'!D19*1000/$C$11</f>
        <v/>
      </c>
      <c r="E15" s="115">
        <f>(Inputs!E83*Inputs!$C$26+'P&amp;L &amp; Capital'!E11*Inputs!$C$27)*1000/$C$11</f>
        <v/>
      </c>
      <c r="F15" s="115">
        <f>(Inputs!F83*Inputs!$C$26+'P&amp;L &amp; Capital'!F11*Inputs!$C$27)*1000/$C$11</f>
        <v/>
      </c>
      <c r="G15" s="115">
        <f>(Inputs!G83*Inputs!$C$26+'P&amp;L &amp; Capital'!G11*Inputs!$C$27)*1000/$C$11</f>
        <v/>
      </c>
      <c r="H15" s="115">
        <f>(Inputs!H83*Inputs!$C$26+'P&amp;L &amp; Capital'!H11*Inputs!$C$27)*1000/$C$11</f>
        <v/>
      </c>
      <c r="I15" s="115">
        <f>(Inputs!I83*Inputs!$C$26+'P&amp;L &amp; Capital'!I11*Inputs!$C$27)*1000/$C$11</f>
        <v/>
      </c>
      <c r="J15" s="115">
        <f>(Inputs!J83*Inputs!$C$26+'P&amp;L &amp; Capital'!J11*Inputs!$C$27)*1000/$C$11</f>
        <v/>
      </c>
      <c r="K15" s="115">
        <f>(Inputs!K83*Inputs!$C$26+'P&amp;L &amp; Capital'!K11*Inputs!$C$27)*1000/$C$11</f>
        <v/>
      </c>
      <c r="L15" s="115">
        <f>(Inputs!L83*Inputs!$C$26+'P&amp;L &amp; Capital'!L11*Inputs!$C$27)*1000/$C$11</f>
        <v/>
      </c>
      <c r="M15" s="115">
        <f>(Inputs!M83*Inputs!$C$26+'P&amp;L &amp; Capital'!M11*Inputs!$C$27)*1000/$C$11</f>
        <v/>
      </c>
      <c r="N15" s="115">
        <f>(Inputs!N83*Inputs!$C$26+'P&amp;L &amp; Capital'!N11*Inputs!$C$27)*1000/$C$11</f>
        <v/>
      </c>
    </row>
    <row r="16" ht="15" customHeight="1" s="74">
      <c r="B16" s="83" t="inlineStr">
        <is>
          <t>Total FTE</t>
        </is>
      </c>
      <c r="D16" s="126">
        <f>SUM(D13:D15)</f>
        <v/>
      </c>
      <c r="E16" s="126">
        <f>SUM(E13:E15)</f>
        <v/>
      </c>
      <c r="F16" s="126">
        <f>SUM(F13:F15)</f>
        <v/>
      </c>
      <c r="G16" s="126">
        <f>SUM(G13:G15)</f>
        <v/>
      </c>
      <c r="H16" s="126">
        <f>SUM(H13:H15)</f>
        <v/>
      </c>
      <c r="I16" s="126">
        <f>SUM(I13:I15)</f>
        <v/>
      </c>
      <c r="J16" s="126">
        <f>SUM(J13:J15)</f>
        <v/>
      </c>
      <c r="K16" s="126">
        <f>SUM(K13:K15)</f>
        <v/>
      </c>
      <c r="L16" s="126">
        <f>SUM(L13:L15)</f>
        <v/>
      </c>
      <c r="M16" s="126">
        <f>SUM(M13:M15)</f>
        <v/>
      </c>
      <c r="N16" s="126">
        <f>SUM(N13:N15)</f>
        <v/>
      </c>
    </row>
    <row r="17" ht="15" customHeight="1" s="74">
      <c r="B17" s="79" t="inlineStr">
        <is>
          <t>Blended revenue per FTE (USD k)</t>
        </is>
      </c>
      <c r="D17" s="115">
        <f>IF(D16=0,0,'P&amp;L &amp; Capital'!D12*1000/D16)</f>
        <v/>
      </c>
      <c r="E17" s="115">
        <f>IF(E16=0,0,'P&amp;L &amp; Capital'!E12*1000/E16)</f>
        <v/>
      </c>
      <c r="F17" s="115">
        <f>IF(F16=0,0,'P&amp;L &amp; Capital'!F12*1000/F16)</f>
        <v/>
      </c>
      <c r="G17" s="115">
        <f>IF(G16=0,0,'P&amp;L &amp; Capital'!G12*1000/G16)</f>
        <v/>
      </c>
      <c r="H17" s="115">
        <f>IF(H16=0,0,'P&amp;L &amp; Capital'!H12*1000/H16)</f>
        <v/>
      </c>
      <c r="I17" s="115">
        <f>IF(I16=0,0,'P&amp;L &amp; Capital'!I12*1000/I16)</f>
        <v/>
      </c>
      <c r="J17" s="115">
        <f>IF(J16=0,0,'P&amp;L &amp; Capital'!J12*1000/J16)</f>
        <v/>
      </c>
      <c r="K17" s="115">
        <f>IF(K16=0,0,'P&amp;L &amp; Capital'!K12*1000/K16)</f>
        <v/>
      </c>
      <c r="L17" s="115">
        <f>IF(L16=0,0,'P&amp;L &amp; Capital'!L12*1000/L16)</f>
        <v/>
      </c>
      <c r="M17" s="115">
        <f>IF(M16=0,0,'P&amp;L &amp; Capital'!M12*1000/M16)</f>
        <v/>
      </c>
      <c r="N17" s="115">
        <f>IF(N16=0,0,'P&amp;L &amp; Capital'!N12*1000/N16)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tabColor rgb="FFCFCDC4"/>
    <outlinePr summaryBelow="1" summaryRight="1"/>
    <pageSetUpPr fitToPage="0"/>
  </sheetPr>
  <dimension ref="B2:N56"/>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8.6796875" defaultRowHeight="15" zeroHeight="0" outlineLevelRow="0"/>
  <cols>
    <col width="2" customWidth="1" style="73" min="1" max="1"/>
    <col width="58" customWidth="1" style="73" min="2" max="2"/>
    <col width="14" customWidth="1" style="73" min="3" max="3"/>
    <col width="11" customWidth="1" style="73" min="4" max="14"/>
  </cols>
  <sheetData>
    <row r="2" ht="17.25" customHeight="1" s="74">
      <c r="B2" s="75" t="inlineStr">
        <is>
          <t>Returns case and Year-10 discounted-future-value bridge (USD M)</t>
        </is>
      </c>
    </row>
    <row r="3" ht="15" customHeight="1" s="74">
      <c r="B3" s="76" t="inlineStr">
        <is>
          <t>Two lenses: (1) a private-equity returns case — exit at Year 5 or Year 7 at an EV/EBITDA multiple, against equity funded; (2) the corrected Year-10 DFV bridge from the August package.</t>
        </is>
      </c>
    </row>
    <row r="6" ht="15" customHeight="1" s="74">
      <c r="B6" s="85" t="inlineStr">
        <is>
          <t>USD millions unless noted</t>
        </is>
      </c>
      <c r="C6" s="85" t="inlineStr">
        <is>
          <t>Input / note</t>
        </is>
      </c>
      <c r="D6" s="104" t="n">
        <v>2026</v>
      </c>
      <c r="E6" s="104" t="n">
        <v>2027</v>
      </c>
      <c r="F6" s="104" t="n">
        <v>2028</v>
      </c>
      <c r="G6" s="104" t="n">
        <v>2029</v>
      </c>
      <c r="H6" s="104" t="n">
        <v>2030</v>
      </c>
      <c r="I6" s="104" t="n">
        <v>2031</v>
      </c>
      <c r="J6" s="104" t="n">
        <v>2032</v>
      </c>
      <c r="K6" s="104" t="n">
        <v>2033</v>
      </c>
      <c r="L6" s="104" t="n">
        <v>2034</v>
      </c>
      <c r="M6" s="104" t="n">
        <v>2035</v>
      </c>
      <c r="N6" s="104" t="n">
        <v>2036</v>
      </c>
    </row>
    <row r="7" ht="15" customHeight="1" s="74">
      <c r="B7" s="105" t="inlineStr">
        <is>
          <t>Model year</t>
        </is>
      </c>
      <c r="D7" s="106" t="inlineStr">
        <is>
          <t>Y0</t>
        </is>
      </c>
      <c r="E7" s="106" t="inlineStr">
        <is>
          <t>Y1</t>
        </is>
      </c>
      <c r="F7" s="106" t="inlineStr">
        <is>
          <t>Y2</t>
        </is>
      </c>
      <c r="G7" s="106" t="inlineStr">
        <is>
          <t>Y3</t>
        </is>
      </c>
      <c r="H7" s="106" t="inlineStr">
        <is>
          <t>Y4</t>
        </is>
      </c>
      <c r="I7" s="106" t="inlineStr">
        <is>
          <t>Y5</t>
        </is>
      </c>
      <c r="J7" s="106" t="inlineStr">
        <is>
          <t>Y6</t>
        </is>
      </c>
      <c r="K7" s="106" t="inlineStr">
        <is>
          <t>Y7</t>
        </is>
      </c>
      <c r="L7" s="106" t="inlineStr">
        <is>
          <t>Y8</t>
        </is>
      </c>
      <c r="M7" s="106" t="inlineStr">
        <is>
          <t>Y9</t>
        </is>
      </c>
      <c r="N7" s="106" t="inlineStr">
        <is>
          <t>Y10</t>
        </is>
      </c>
    </row>
    <row r="9" ht="15" customHeight="1" s="74">
      <c r="B9" s="86" t="inlineStr">
        <is>
          <t>1. Returns case — equity funded per P&amp;L &amp; Capital, exit EV = adjusted EBITDA × exit multiple</t>
        </is>
      </c>
      <c r="C9" s="87" t="n"/>
      <c r="D9" s="87" t="n"/>
      <c r="E9" s="87" t="n"/>
      <c r="F9" s="87" t="n"/>
      <c r="G9" s="87" t="n"/>
      <c r="H9" s="87" t="n"/>
      <c r="I9" s="87" t="n"/>
      <c r="J9" s="87" t="n"/>
      <c r="K9" s="87" t="n"/>
      <c r="L9" s="87" t="n"/>
      <c r="M9" s="87" t="n"/>
      <c r="N9" s="87" t="n"/>
    </row>
    <row r="10" ht="15" customHeight="1" s="74">
      <c r="B10" s="79" t="inlineStr">
        <is>
          <t>Equity invested in year (negative)</t>
        </is>
      </c>
      <c r="D10" s="125">
        <f>-'P&amp;L &amp; Capital'!D34</f>
        <v/>
      </c>
      <c r="E10" s="125">
        <f>-'P&amp;L &amp; Capital'!E34</f>
        <v/>
      </c>
      <c r="F10" s="125">
        <f>-'P&amp;L &amp; Capital'!F34</f>
        <v/>
      </c>
      <c r="G10" s="125">
        <f>-'P&amp;L &amp; Capital'!G34</f>
        <v/>
      </c>
      <c r="H10" s="125">
        <f>-'P&amp;L &amp; Capital'!H34</f>
        <v/>
      </c>
      <c r="I10" s="125">
        <f>-'P&amp;L &amp; Capital'!I34</f>
        <v/>
      </c>
      <c r="J10" s="125">
        <f>-'P&amp;L &amp; Capital'!J34</f>
        <v/>
      </c>
      <c r="K10" s="125">
        <f>-'P&amp;L &amp; Capital'!K34</f>
        <v/>
      </c>
      <c r="L10" s="125">
        <f>-'P&amp;L &amp; Capital'!L34</f>
        <v/>
      </c>
      <c r="M10" s="125">
        <f>-'P&amp;L &amp; Capital'!M34</f>
        <v/>
      </c>
      <c r="N10" s="125">
        <f>-'P&amp;L &amp; Capital'!N34</f>
        <v/>
      </c>
    </row>
    <row r="11" ht="15" customHeight="1" s="74">
      <c r="B11" s="79" t="inlineStr">
        <is>
          <t>Enterprise value if exited in year (adj. EBITDA × exit multiple)</t>
        </is>
      </c>
      <c r="D11" s="114">
        <f>'P&amp;L &amp; Capital'!D23*Inputs!$C$43</f>
        <v/>
      </c>
      <c r="E11" s="114">
        <f>'P&amp;L &amp; Capital'!E23*Inputs!$C$43</f>
        <v/>
      </c>
      <c r="F11" s="114">
        <f>'P&amp;L &amp; Capital'!F23*Inputs!$C$43</f>
        <v/>
      </c>
      <c r="G11" s="114">
        <f>'P&amp;L &amp; Capital'!G23*Inputs!$C$43</f>
        <v/>
      </c>
      <c r="H11" s="114">
        <f>'P&amp;L &amp; Capital'!H23*Inputs!$C$43</f>
        <v/>
      </c>
      <c r="I11" s="114">
        <f>'P&amp;L &amp; Capital'!I23*Inputs!$C$43</f>
        <v/>
      </c>
      <c r="J11" s="114">
        <f>'P&amp;L &amp; Capital'!J23*Inputs!$C$43</f>
        <v/>
      </c>
      <c r="K11" s="114">
        <f>'P&amp;L &amp; Capital'!K23*Inputs!$C$43</f>
        <v/>
      </c>
      <c r="L11" s="114">
        <f>'P&amp;L &amp; Capital'!L23*Inputs!$C$43</f>
        <v/>
      </c>
      <c r="M11" s="114">
        <f>'P&amp;L &amp; Capital'!M23*Inputs!$C$43</f>
        <v/>
      </c>
      <c r="N11" s="114">
        <f>'P&amp;L &amp; Capital'!N23*Inputs!$C$43</f>
        <v/>
      </c>
    </row>
    <row r="12" ht="15" customHeight="1" s="74">
      <c r="B12" s="79" t="inlineStr">
        <is>
          <t>Equity value at exit (EV + closing cash; no debt assumed)</t>
        </is>
      </c>
      <c r="D12" s="114">
        <f>D11+'P&amp;L &amp; Capital'!D36</f>
        <v/>
      </c>
      <c r="E12" s="114">
        <f>E11+'P&amp;L &amp; Capital'!E36</f>
        <v/>
      </c>
      <c r="F12" s="114">
        <f>F11+'P&amp;L &amp; Capital'!F36</f>
        <v/>
      </c>
      <c r="G12" s="114">
        <f>G11+'P&amp;L &amp; Capital'!G36</f>
        <v/>
      </c>
      <c r="H12" s="114">
        <f>H11+'P&amp;L &amp; Capital'!H36</f>
        <v/>
      </c>
      <c r="I12" s="114">
        <f>I11+'P&amp;L &amp; Capital'!I36</f>
        <v/>
      </c>
      <c r="J12" s="114">
        <f>J11+'P&amp;L &amp; Capital'!J36</f>
        <v/>
      </c>
      <c r="K12" s="114">
        <f>K11+'P&amp;L &amp; Capital'!K36</f>
        <v/>
      </c>
      <c r="L12" s="114">
        <f>L11+'P&amp;L &amp; Capital'!L36</f>
        <v/>
      </c>
      <c r="M12" s="114">
        <f>M11+'P&amp;L &amp; Capital'!M36</f>
        <v/>
      </c>
      <c r="N12" s="114">
        <f>N11+'P&amp;L &amp; Capital'!N36</f>
        <v/>
      </c>
    </row>
    <row r="13" ht="15" customHeight="1" s="74">
      <c r="B13" s="79" t="inlineStr">
        <is>
          <t>Cumulative equity invested to date</t>
        </is>
      </c>
      <c r="D13" s="125">
        <f>'P&amp;L &amp; Capital'!D35</f>
        <v/>
      </c>
      <c r="E13" s="125">
        <f>'P&amp;L &amp; Capital'!E35</f>
        <v/>
      </c>
      <c r="F13" s="125">
        <f>'P&amp;L &amp; Capital'!F35</f>
        <v/>
      </c>
      <c r="G13" s="125">
        <f>'P&amp;L &amp; Capital'!G35</f>
        <v/>
      </c>
      <c r="H13" s="125">
        <f>'P&amp;L &amp; Capital'!H35</f>
        <v/>
      </c>
      <c r="I13" s="125">
        <f>'P&amp;L &amp; Capital'!I35</f>
        <v/>
      </c>
      <c r="J13" s="125">
        <f>'P&amp;L &amp; Capital'!J35</f>
        <v/>
      </c>
      <c r="K13" s="125">
        <f>'P&amp;L &amp; Capital'!K35</f>
        <v/>
      </c>
      <c r="L13" s="125">
        <f>'P&amp;L &amp; Capital'!L35</f>
        <v/>
      </c>
      <c r="M13" s="125">
        <f>'P&amp;L &amp; Capital'!M35</f>
        <v/>
      </c>
      <c r="N13" s="125">
        <f>'P&amp;L &amp; Capital'!N35</f>
        <v/>
      </c>
    </row>
    <row r="14" ht="15" customHeight="1" s="74">
      <c r="B14" s="83" t="inlineStr">
        <is>
          <t>MOIC if exited in year</t>
        </is>
      </c>
      <c r="D14" s="100">
        <f>IF(D13=0,0,D12/D13)</f>
        <v/>
      </c>
      <c r="E14" s="100">
        <f>IF(E13=0,0,E12/E13)</f>
        <v/>
      </c>
      <c r="F14" s="100">
        <f>IF(F13=0,0,F12/F13)</f>
        <v/>
      </c>
      <c r="G14" s="100">
        <f>IF(G13=0,0,G12/G13)</f>
        <v/>
      </c>
      <c r="H14" s="100">
        <f>IF(H13=0,0,H12/H13)</f>
        <v/>
      </c>
      <c r="I14" s="100">
        <f>IF(I13=0,0,I12/I13)</f>
        <v/>
      </c>
      <c r="J14" s="100">
        <f>IF(J13=0,0,J12/J13)</f>
        <v/>
      </c>
      <c r="K14" s="100">
        <f>IF(K13=0,0,K12/K13)</f>
        <v/>
      </c>
      <c r="L14" s="100">
        <f>IF(L13=0,0,L12/L13)</f>
        <v/>
      </c>
      <c r="M14" s="100">
        <f>IF(M13=0,0,M12/M13)</f>
        <v/>
      </c>
      <c r="N14" s="100">
        <f>IF(N13=0,0,N12/N13)</f>
        <v/>
      </c>
    </row>
    <row r="16" ht="15" customHeight="1" s="74">
      <c r="B16" s="83" t="inlineStr">
        <is>
          <t>IRR series (investments to exit year, exit proceeds in exit year)</t>
        </is>
      </c>
    </row>
    <row r="17" ht="15" customHeight="1" s="74">
      <c r="B17" s="79" t="inlineStr">
        <is>
          <t xml:space="preserve">  Exit Year 5 (2031) — cash flows</t>
        </is>
      </c>
      <c r="D17" s="114">
        <f>D10</f>
        <v/>
      </c>
      <c r="E17" s="114">
        <f>E10</f>
        <v/>
      </c>
      <c r="F17" s="114">
        <f>F10</f>
        <v/>
      </c>
      <c r="G17" s="114">
        <f>G10</f>
        <v/>
      </c>
      <c r="H17" s="114">
        <f>H10</f>
        <v/>
      </c>
      <c r="I17" s="114">
        <f>I10+I12</f>
        <v/>
      </c>
      <c r="J17" s="114" t="n"/>
      <c r="K17" s="114" t="n"/>
      <c r="L17" s="114" t="n"/>
      <c r="M17" s="114" t="n"/>
      <c r="N17" s="114" t="n"/>
    </row>
    <row r="18" ht="15" customHeight="1" s="74">
      <c r="B18" s="83" t="inlineStr">
        <is>
          <t xml:space="preserve">  Exit Year 5 (2031) — IRR</t>
        </is>
      </c>
      <c r="C18" s="92">
        <f>IFERROR(IRR(D17:I17),0)</f>
        <v/>
      </c>
    </row>
    <row r="19" ht="15" customHeight="1" s="74">
      <c r="B19" s="83" t="inlineStr">
        <is>
          <t xml:space="preserve">  Exit Year 5 (2031) — MOIC</t>
        </is>
      </c>
      <c r="C19" s="100">
        <f>I14</f>
        <v/>
      </c>
    </row>
    <row r="21" ht="15" customHeight="1" s="74">
      <c r="B21" s="79" t="inlineStr">
        <is>
          <t xml:space="preserve">  Exit Year 7 (2033) — cash flows</t>
        </is>
      </c>
      <c r="D21" s="114">
        <f>D10</f>
        <v/>
      </c>
      <c r="E21" s="114">
        <f>E10</f>
        <v/>
      </c>
      <c r="F21" s="114">
        <f>F10</f>
        <v/>
      </c>
      <c r="G21" s="114">
        <f>G10</f>
        <v/>
      </c>
      <c r="H21" s="114">
        <f>H10</f>
        <v/>
      </c>
      <c r="I21" s="114">
        <f>I10</f>
        <v/>
      </c>
      <c r="J21" s="114">
        <f>J10</f>
        <v/>
      </c>
      <c r="K21" s="114">
        <f>K10+K12</f>
        <v/>
      </c>
      <c r="L21" s="114" t="n"/>
      <c r="M21" s="114" t="n"/>
      <c r="N21" s="114" t="n"/>
    </row>
    <row r="22" ht="15" customHeight="1" s="74">
      <c r="B22" s="83" t="inlineStr">
        <is>
          <t xml:space="preserve">  Exit Year 7 (2033) — IRR</t>
        </is>
      </c>
      <c r="C22" s="92">
        <f>IFERROR(IRR(D21:K21),0)</f>
        <v/>
      </c>
    </row>
    <row r="23" ht="15" customHeight="1" s="74">
      <c r="B23" s="83" t="inlineStr">
        <is>
          <t xml:space="preserve">  Exit Year 7 (2033) — MOIC</t>
        </is>
      </c>
      <c r="C23" s="100">
        <f>K14</f>
        <v/>
      </c>
    </row>
    <row r="25" ht="15" customHeight="1" s="74">
      <c r="B25" s="79" t="inlineStr">
        <is>
          <t xml:space="preserve">  Exit Year 10 (2036) — cash flows</t>
        </is>
      </c>
      <c r="D25" s="114">
        <f>D10</f>
        <v/>
      </c>
      <c r="E25" s="114">
        <f>E10</f>
        <v/>
      </c>
      <c r="F25" s="114">
        <f>F10</f>
        <v/>
      </c>
      <c r="G25" s="114">
        <f>G10</f>
        <v/>
      </c>
      <c r="H25" s="114">
        <f>H10</f>
        <v/>
      </c>
      <c r="I25" s="114">
        <f>I10</f>
        <v/>
      </c>
      <c r="J25" s="114">
        <f>J10</f>
        <v/>
      </c>
      <c r="K25" s="114">
        <f>K10</f>
        <v/>
      </c>
      <c r="L25" s="114">
        <f>L10</f>
        <v/>
      </c>
      <c r="M25" s="114">
        <f>M10</f>
        <v/>
      </c>
      <c r="N25" s="114">
        <f>N10+N12</f>
        <v/>
      </c>
    </row>
    <row r="26" ht="15" customHeight="1" s="74">
      <c r="B26" s="83" t="inlineStr">
        <is>
          <t xml:space="preserve">  Exit Year 10 (2036) — IRR</t>
        </is>
      </c>
      <c r="C26" s="92">
        <f>IFERROR(IRR(D25:N25),0)</f>
        <v/>
      </c>
    </row>
    <row r="27" ht="15" customHeight="1" s="74">
      <c r="B27" s="83" t="inlineStr">
        <is>
          <t xml:space="preserve">  Exit Year 10 (2036) — MOIC</t>
        </is>
      </c>
      <c r="C27" s="100">
        <f>N14</f>
        <v/>
      </c>
    </row>
    <row r="29" ht="15" customHeight="1" s="74">
      <c r="B29" s="83" t="inlineStr">
        <is>
          <t>Exit-multiple sensitivity — MOIC at Year 7</t>
        </is>
      </c>
    </row>
    <row r="30" ht="15" customHeight="1" s="74">
      <c r="B30" s="79" t="inlineStr">
        <is>
          <t>Exit multiple</t>
        </is>
      </c>
      <c r="D30" s="101" t="n">
        <v>6</v>
      </c>
      <c r="E30" s="101" t="n">
        <v>8</v>
      </c>
      <c r="F30" s="101" t="n">
        <v>10</v>
      </c>
      <c r="G30" s="101" t="n">
        <v>12</v>
      </c>
      <c r="H30" s="101" t="n">
        <v>14</v>
      </c>
    </row>
    <row r="31" ht="15" customHeight="1" s="74">
      <c r="B31" s="79" t="inlineStr">
        <is>
          <t>MOIC (Year 7 exit)</t>
        </is>
      </c>
      <c r="D31" s="124">
        <f>IF(K13=0,0,('P&amp;L &amp; Capital'!K23*D30+'P&amp;L &amp; Capital'!K36)/K13)</f>
        <v/>
      </c>
      <c r="E31" s="124">
        <f>IF(K13=0,0,('P&amp;L &amp; Capital'!K23*E30+'P&amp;L &amp; Capital'!K36)/K13)</f>
        <v/>
      </c>
      <c r="F31" s="124">
        <f>IF(K13=0,0,('P&amp;L &amp; Capital'!K23*F30+'P&amp;L &amp; Capital'!K36)/K13)</f>
        <v/>
      </c>
      <c r="G31" s="124">
        <f>IF(K13=0,0,('P&amp;L &amp; Capital'!K23*G30+'P&amp;L &amp; Capital'!K36)/K13)</f>
        <v/>
      </c>
      <c r="H31" s="124">
        <f>IF(K13=0,0,('P&amp;L &amp; Capital'!K23*H30+'P&amp;L &amp; Capital'!K36)/K13)</f>
        <v/>
      </c>
    </row>
    <row r="33" ht="15" customHeight="1" s="74">
      <c r="B33" s="86" t="inlineStr">
        <is>
          <t>2. Year-10 discounted-future-value bridge (corrected from the August 2026 package)</t>
        </is>
      </c>
      <c r="C33" s="87" t="n"/>
      <c r="D33" s="87" t="n"/>
      <c r="E33" s="87" t="n"/>
      <c r="F33" s="87" t="n"/>
      <c r="G33" s="87" t="n"/>
      <c r="H33" s="87" t="n"/>
      <c r="I33" s="87" t="n"/>
      <c r="J33" s="87" t="n"/>
      <c r="K33" s="87" t="n"/>
      <c r="L33" s="87" t="n"/>
      <c r="M33" s="87" t="n"/>
      <c r="N33" s="87" t="n"/>
    </row>
    <row r="34" ht="15" customHeight="1" s="74">
      <c r="B34" s="79" t="inlineStr">
        <is>
          <t>Year-10 revenue (operating model)</t>
        </is>
      </c>
      <c r="C34" s="125">
        <f>'P&amp;L &amp; Capital'!N12</f>
        <v/>
      </c>
    </row>
    <row r="35" ht="15" customHeight="1" s="74">
      <c r="B35" s="79" t="inlineStr">
        <is>
          <t>Year-10 adjusted EBITDA margin (operating model — not a hard-coded 20%)</t>
        </is>
      </c>
      <c r="C35" s="127">
        <f>'P&amp;L &amp; Capital'!N24</f>
        <v/>
      </c>
    </row>
    <row r="36" ht="15" customHeight="1" s="74">
      <c r="B36" s="79" t="inlineStr">
        <is>
          <t>Year-10 adjusted EBITDA</t>
        </is>
      </c>
      <c r="C36" s="117">
        <f>'P&amp;L &amp; Capital'!N23</f>
        <v/>
      </c>
    </row>
    <row r="37" ht="15" customHeight="1" s="74">
      <c r="B37" s="79" t="inlineStr">
        <is>
          <t>Comp multiple — low (public A&amp;D government services, KPMG end-2025)</t>
        </is>
      </c>
      <c r="C37" s="128">
        <f>Inputs!$C$45</f>
        <v/>
      </c>
    </row>
    <row r="38" ht="15" customHeight="1" s="74">
      <c r="B38" s="79" t="inlineStr">
        <is>
          <t>Comp multiple — high (Cadre Holdings trading, Aug 2026)</t>
        </is>
      </c>
      <c r="C38" s="128">
        <f>Inputs!$C$46</f>
        <v/>
      </c>
    </row>
    <row r="39" ht="15" customHeight="1" s="74">
      <c r="B39" s="79" t="inlineStr">
        <is>
          <t>Reference only: private A&amp;D deal median 18.96x (PCE Q2 2026) — not used</t>
        </is>
      </c>
      <c r="C39" s="129" t="n">
        <v>18.96</v>
      </c>
    </row>
    <row r="40" ht="15" customHeight="1" s="74">
      <c r="B40" s="79" t="inlineStr">
        <is>
          <t>Future firm value — low</t>
        </is>
      </c>
      <c r="C40" s="114">
        <f>C36*C37</f>
        <v/>
      </c>
    </row>
    <row r="41" ht="15" customHeight="1" s="74">
      <c r="B41" s="79" t="inlineStr">
        <is>
          <t>Future firm value — high</t>
        </is>
      </c>
      <c r="C41" s="114">
        <f>C36*C38</f>
        <v/>
      </c>
    </row>
    <row r="42" ht="15" customHeight="1" s="74">
      <c r="B42" s="79" t="inlineStr">
        <is>
          <t>Discount rate</t>
        </is>
      </c>
      <c r="C42" s="127">
        <f>Inputs!$C$44</f>
        <v/>
      </c>
    </row>
    <row r="43" ht="15" customHeight="1" s="74">
      <c r="B43" s="79" t="inlineStr">
        <is>
          <t>Periods (matched to the 10-year projection horizon)</t>
        </is>
      </c>
      <c r="C43" s="97" t="n">
        <v>10</v>
      </c>
    </row>
    <row r="44" ht="15" customHeight="1" s="74">
      <c r="B44" s="79" t="inlineStr">
        <is>
          <t>Discounted firm value — low</t>
        </is>
      </c>
      <c r="C44" s="114">
        <f>C40/(1+C42)^C43</f>
        <v/>
      </c>
    </row>
    <row r="45" ht="15" customHeight="1" s="74">
      <c r="B45" s="79" t="inlineStr">
        <is>
          <t>Discounted firm value — high</t>
        </is>
      </c>
      <c r="C45" s="114">
        <f>C41/(1+C42)^C43</f>
        <v/>
      </c>
    </row>
    <row r="46" ht="15" customHeight="1" s="74">
      <c r="B46" s="83" t="inlineStr">
        <is>
          <t>Discounted firm value — midpoint</t>
        </is>
      </c>
      <c r="C46" s="110">
        <f>AVERAGE(C44:C45)</f>
        <v/>
      </c>
    </row>
    <row r="47" ht="15" customHeight="1" s="74">
      <c r="B47" s="79" t="inlineStr">
        <is>
          <t>Less: total equity funding drawn over the plan</t>
        </is>
      </c>
      <c r="C47" s="125">
        <f>-'P&amp;L &amp; Capital'!D44</f>
        <v/>
      </c>
    </row>
    <row r="48" ht="15" customHeight="1" s="74">
      <c r="B48" s="83" t="inlineStr">
        <is>
          <t>Discounted value net of capital deployed (midpoint)</t>
        </is>
      </c>
      <c r="C48" s="110">
        <f>C46+C47</f>
        <v/>
      </c>
    </row>
    <row r="50" ht="15" customHeight="1" s="74">
      <c r="B50" s="83" t="inlineStr">
        <is>
          <t>Sensitivity — discounted midpoint by discount rate × periods</t>
        </is>
      </c>
    </row>
    <row r="51" ht="15" customHeight="1" s="74">
      <c r="B51" s="79" t="inlineStr">
        <is>
          <t>Discount rate \ periods</t>
        </is>
      </c>
      <c r="D51" s="97" t="n">
        <v>5</v>
      </c>
      <c r="E51" s="97" t="n">
        <v>7</v>
      </c>
      <c r="F51" s="97" t="n">
        <v>10</v>
      </c>
    </row>
    <row r="52" ht="15" customHeight="1" s="74">
      <c r="B52" s="79" t="n"/>
      <c r="C52" s="93" t="n">
        <v>0.2</v>
      </c>
      <c r="D52" s="114">
        <f>AVERAGE(C40,C41)/(1+$C52)^D$51</f>
        <v/>
      </c>
      <c r="E52" s="114">
        <f>AVERAGE(C40,C41)/(1+$C52)^E$51</f>
        <v/>
      </c>
      <c r="F52" s="114">
        <f>AVERAGE(C40,C41)/(1+$C52)^F$51</f>
        <v/>
      </c>
    </row>
    <row r="53" ht="15" customHeight="1" s="74">
      <c r="B53" s="79" t="n"/>
      <c r="C53" s="93" t="n">
        <v>0.25</v>
      </c>
      <c r="D53" s="114">
        <f>AVERAGE(C40,C41)/(1+$C53)^D$51</f>
        <v/>
      </c>
      <c r="E53" s="114">
        <f>AVERAGE(C40,C41)/(1+$C53)^E$51</f>
        <v/>
      </c>
      <c r="F53" s="114">
        <f>AVERAGE(C40,C41)/(1+$C53)^F$51</f>
        <v/>
      </c>
    </row>
    <row r="54" ht="15" customHeight="1" s="74">
      <c r="B54" s="79" t="n"/>
      <c r="C54" s="93" t="n">
        <v>0.3</v>
      </c>
      <c r="D54" s="114">
        <f>AVERAGE(C40,C41)/(1+$C54)^D$51</f>
        <v/>
      </c>
      <c r="E54" s="114">
        <f>AVERAGE(C40,C41)/(1+$C54)^E$51</f>
        <v/>
      </c>
      <c r="F54" s="114">
        <f>AVERAGE(C40,C41)/(1+$C54)^F$51</f>
        <v/>
      </c>
    </row>
    <row r="55" ht="15" customHeight="1" s="74">
      <c r="B55" s="79" t="n"/>
      <c r="C55" s="93" t="n">
        <v>0.35</v>
      </c>
      <c r="D55" s="114">
        <f>AVERAGE(C40,C41)/(1+$C55)^D$51</f>
        <v/>
      </c>
      <c r="E55" s="114">
        <f>AVERAGE(C40,C41)/(1+$C55)^E$51</f>
        <v/>
      </c>
      <c r="F55" s="114">
        <f>AVERAGE(C40,C41)/(1+$C55)^F$51</f>
        <v/>
      </c>
    </row>
    <row r="56" ht="43.5" customHeight="1" s="74">
      <c r="B56" s="89" t="inlineStr">
        <is>
          <t>Read: discounting fewer periods than the years projected inflates the headline; the bridge above uses 10 periods at the live discount rate. Comp multiples are trading/transaction data for far larger, de-risked businesses — a size and illiquidity discount is embedded in the discount rate, not in the multiple.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66705F"/>
    <outlinePr summaryBelow="1" summaryRight="1"/>
    <pageSetUpPr fitToPage="0"/>
  </sheetPr>
  <dimension ref="B2:F5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6" customWidth="1" style="73" min="3" max="6"/>
    <col width="11" customWidth="1" style="73" min="7" max="14"/>
  </cols>
  <sheetData>
    <row r="2" ht="17.25" customHeight="1" s="74">
      <c r="B2" s="75" t="inlineStr">
        <is>
          <t>Scenarios — lever settings and outcomes</t>
        </is>
      </c>
    </row>
    <row r="3" ht="15" customHeight="1" s="74">
      <c r="B3" s="76" t="inlineStr">
        <is>
          <t>The "Live" column follows Inputs!C6. The three snapshot columns were captured at build time by running each case; re-run by changing the selector.</t>
        </is>
      </c>
    </row>
    <row r="5" ht="15" customHeight="1" s="74">
      <c r="B5" s="130" t="inlineStr">
        <is>
          <t>Snapshot columns D–F are VALUES captured at build (1 Sep 2026) by running each scenario; column C is live.</t>
        </is>
      </c>
    </row>
    <row r="6" ht="15" customHeight="1" s="74">
      <c r="B6" s="85" t="inlineStr">
        <is>
          <t>Metric</t>
        </is>
      </c>
      <c r="C6" s="85" t="inlineStr">
        <is>
          <t>Live</t>
        </is>
      </c>
      <c r="D6" s="85" t="inlineStr">
        <is>
          <t>Downside</t>
        </is>
      </c>
      <c r="E6" s="85" t="inlineStr">
        <is>
          <t>Base</t>
        </is>
      </c>
      <c r="F6" s="85" t="inlineStr">
        <is>
          <t>Upside</t>
        </is>
      </c>
    </row>
    <row r="7" ht="15" customHeight="1" s="74">
      <c r="B7" s="79" t="inlineStr">
        <is>
          <t>Revenue Y5 (USD M)</t>
        </is>
      </c>
      <c r="C7" s="117">
        <f>Outputs!$C$11</f>
        <v/>
      </c>
      <c r="D7" s="131" t="n">
        <v>62.9100997034176</v>
      </c>
      <c r="E7" s="131" t="n">
        <v>136.870711786403</v>
      </c>
      <c r="F7" s="131" t="n">
        <v>227.622510042214</v>
      </c>
    </row>
    <row r="8" ht="15" customHeight="1" s="74">
      <c r="B8" s="79" t="inlineStr">
        <is>
          <t>Revenue Y10 (USD M)</t>
        </is>
      </c>
      <c r="C8" s="117">
        <f>Outputs!$C$15</f>
        <v/>
      </c>
      <c r="D8" s="131" t="n">
        <v>115.275164307195</v>
      </c>
      <c r="E8" s="131" t="n">
        <v>341.632952334155</v>
      </c>
      <c r="F8" s="131" t="n">
        <v>693.790914054411</v>
      </c>
    </row>
    <row r="9" ht="15" customHeight="1" s="74">
      <c r="B9" s="79" t="inlineStr">
        <is>
          <t>Adj. EBITDA Y5</t>
        </is>
      </c>
      <c r="C9" s="117">
        <f>Outputs!$C$19</f>
        <v/>
      </c>
      <c r="D9" s="131" t="n">
        <v>15.7275249258544</v>
      </c>
      <c r="E9" s="131" t="n">
        <v>41.0612135359208</v>
      </c>
      <c r="F9" s="131" t="n">
        <v>79.667878514775</v>
      </c>
    </row>
    <row r="10" ht="15" customHeight="1" s="74">
      <c r="B10" s="79" t="inlineStr">
        <is>
          <t>Adj. EBITDA Y10</t>
        </is>
      </c>
      <c r="C10" s="117">
        <f>Outputs!$C$21</f>
        <v/>
      </c>
      <c r="D10" s="131" t="n">
        <v>34.5825492921586</v>
      </c>
      <c r="E10" s="131" t="n">
        <v>119.571533316954</v>
      </c>
      <c r="F10" s="131" t="n">
        <v>277.516365621764</v>
      </c>
    </row>
    <row r="11" ht="15" customHeight="1" s="74">
      <c r="B11" s="79" t="inlineStr">
        <is>
          <t>Adj. EBITDA margin Y10</t>
        </is>
      </c>
      <c r="C11" s="132">
        <f>Outputs!$C$23</f>
        <v/>
      </c>
      <c r="D11" s="133" t="n">
        <v>0.3</v>
      </c>
      <c r="E11" s="133" t="n">
        <v>0.35</v>
      </c>
      <c r="F11" s="133" t="n">
        <v>0.4</v>
      </c>
    </row>
    <row r="12" ht="15" customHeight="1" s="74">
      <c r="B12" s="79" t="inlineStr">
        <is>
          <t>Acquisitions (count)</t>
        </is>
      </c>
      <c r="C12" s="81">
        <f>Outputs!$C$24</f>
        <v/>
      </c>
      <c r="D12" s="134" t="n">
        <v>4</v>
      </c>
      <c r="E12" s="134" t="n">
        <v>6</v>
      </c>
      <c r="F12" s="134" t="n">
        <v>7</v>
      </c>
    </row>
    <row r="13" ht="15" customHeight="1" s="74">
      <c r="B13" s="79" t="inlineStr">
        <is>
          <t>Acquisition consideration (USD M)</t>
        </is>
      </c>
      <c r="C13" s="117">
        <f>Outputs!$C$25</f>
        <v/>
      </c>
      <c r="D13" s="131" t="n">
        <v>48.72</v>
      </c>
      <c r="E13" s="131" t="n">
        <v>82.69499999999999</v>
      </c>
      <c r="F13" s="131" t="n">
        <v>104.295</v>
      </c>
    </row>
    <row r="14" ht="15" customHeight="1" s="74">
      <c r="B14" s="79" t="inlineStr">
        <is>
          <t>Capital required Phases 1–3 (USD M)</t>
        </is>
      </c>
      <c r="C14" s="117">
        <f>Outputs!$C$29+Outputs!$C$30+Outputs!$C$31</f>
        <v/>
      </c>
      <c r="D14" s="131" t="n">
        <v>47.8625181761661</v>
      </c>
      <c r="E14" s="131" t="n">
        <v>49.2868907028733</v>
      </c>
      <c r="F14" s="131" t="n">
        <v>50.4970470962652</v>
      </c>
    </row>
    <row r="15" ht="15" customHeight="1" s="74">
      <c r="B15" s="79" t="inlineStr">
        <is>
          <t>Total equity funding 2026–36 (USD M)</t>
        </is>
      </c>
      <c r="C15" s="117">
        <f>Outputs!$C$33</f>
        <v/>
      </c>
      <c r="D15" s="131" t="n">
        <v>47.8625181761661</v>
      </c>
      <c r="E15" s="131" t="n">
        <v>49.2868907028733</v>
      </c>
      <c r="F15" s="131" t="n">
        <v>50.4970470962652</v>
      </c>
    </row>
    <row r="16" ht="15" customHeight="1" s="74">
      <c r="B16" s="79" t="inlineStr">
        <is>
          <t>Total FTE Y10</t>
        </is>
      </c>
      <c r="C16" s="81">
        <f>Outputs!$C$51</f>
        <v/>
      </c>
      <c r="D16" s="134" t="n">
        <v>735.576890068175</v>
      </c>
      <c r="E16" s="134" t="n">
        <v>2020.12040525132</v>
      </c>
      <c r="F16" s="134" t="n">
        <v>3966.15206224044</v>
      </c>
    </row>
    <row r="17" ht="15" customHeight="1" s="74">
      <c r="B17" s="79" t="inlineStr">
        <is>
          <t>Share of SAM Y10</t>
        </is>
      </c>
      <c r="C17" s="132">
        <f>Outputs!$C$59</f>
        <v/>
      </c>
      <c r="D17" s="133" t="n">
        <v>0.0392607642371394</v>
      </c>
      <c r="E17" s="133" t="n">
        <v>0.116354384553169</v>
      </c>
      <c r="F17" s="133" t="n">
        <v>0.236293408647603</v>
      </c>
    </row>
    <row r="18" ht="15" customHeight="1" s="74">
      <c r="B18" s="79" t="inlineStr">
        <is>
          <t>MOIC — Year-7 exit</t>
        </is>
      </c>
      <c r="C18" s="135">
        <f>Outputs!$C$63</f>
        <v/>
      </c>
      <c r="D18" s="136" t="n">
        <v>4.19694385819923</v>
      </c>
      <c r="E18" s="136" t="n">
        <v>15.0495754353535</v>
      </c>
      <c r="F18" s="136" t="n">
        <v>37.5590140745439</v>
      </c>
    </row>
    <row r="19" ht="15" customHeight="1" s="74">
      <c r="B19" s="79" t="inlineStr">
        <is>
          <t>IRR — Year-7 exit</t>
        </is>
      </c>
      <c r="C19" s="132">
        <f>Outputs!$C$64</f>
        <v/>
      </c>
      <c r="D19" s="133" t="n">
        <v>0.452279429895148</v>
      </c>
      <c r="E19" s="133" t="n">
        <v>0.755215909820625</v>
      </c>
      <c r="F19" s="133" t="n">
        <v>1.12150575731724</v>
      </c>
    </row>
    <row r="20" ht="15" customHeight="1" s="74">
      <c r="B20" s="79" t="inlineStr">
        <is>
          <t>DFV midpoint (USD M)</t>
        </is>
      </c>
      <c r="C20" s="117">
        <f>Outputs!$C$73</f>
        <v/>
      </c>
      <c r="D20" s="131" t="n">
        <v>33.2383425914016</v>
      </c>
      <c r="E20" s="131" t="n">
        <v>170.115367073946</v>
      </c>
      <c r="F20" s="131" t="n">
        <v>593.870861683593</v>
      </c>
    </row>
    <row r="22" ht="15" customHeight="1" s="74">
      <c r="B22" s="83" t="inlineStr">
        <is>
          <t>Lever settings by scenario</t>
        </is>
      </c>
    </row>
    <row r="23" ht="15" customHeight="1" s="74">
      <c r="B23" s="85" t="inlineStr">
        <is>
          <t>Lever</t>
        </is>
      </c>
      <c r="C23" s="85" t="n"/>
      <c r="D23" s="85" t="inlineStr">
        <is>
          <t>Downside</t>
        </is>
      </c>
      <c r="E23" s="85" t="inlineStr">
        <is>
          <t>Base</t>
        </is>
      </c>
      <c r="F23" s="85" t="inlineStr">
        <is>
          <t>Upside</t>
        </is>
      </c>
    </row>
    <row r="24" ht="15" customHeight="1" s="74">
      <c r="B24" s="79" t="inlineStr">
        <is>
          <t>Revenue per deployed eMACS unit-year (USD M)</t>
        </is>
      </c>
      <c r="D24" s="137">
        <f>Inputs!D12</f>
        <v/>
      </c>
      <c r="E24" s="137">
        <f>Inputs!E12</f>
        <v/>
      </c>
      <c r="F24" s="137">
        <f>Inputs!F12</f>
        <v/>
      </c>
    </row>
    <row r="25" ht="15" customHeight="1" s="74">
      <c r="B25" s="79" t="inlineStr">
        <is>
          <t>Service price escalation per year</t>
        </is>
      </c>
      <c r="D25" s="127">
        <f>Inputs!D13</f>
        <v/>
      </c>
      <c r="E25" s="127">
        <f>Inputs!E13</f>
        <v/>
      </c>
      <c r="F25" s="127">
        <f>Inputs!F13</f>
        <v/>
      </c>
    </row>
    <row r="26" ht="15" customHeight="1" s="74">
      <c r="B26" s="79" t="inlineStr">
        <is>
          <t>First-year utilisation of a newly deployed unit</t>
        </is>
      </c>
      <c r="D26" s="127">
        <f>Inputs!D14</f>
        <v/>
      </c>
      <c r="E26" s="127">
        <f>Inputs!E14</f>
        <v/>
      </c>
      <c r="F26" s="127">
        <f>Inputs!F14</f>
        <v/>
      </c>
    </row>
    <row r="27" ht="15" customHeight="1" s="74">
      <c r="B27" s="79" t="inlineStr">
        <is>
          <t>Metals recovery contribution — % of custody destruction services revenue</t>
        </is>
      </c>
      <c r="D27" s="127">
        <f>Inputs!D15</f>
        <v/>
      </c>
      <c r="E27" s="127">
        <f>Inputs!E15</f>
        <v/>
      </c>
      <c r="F27" s="127">
        <f>Inputs!F15</f>
        <v/>
      </c>
    </row>
    <row r="28" ht="15" customHeight="1" s="74">
      <c r="B28" s="79" t="inlineStr">
        <is>
          <t>eMACS equipment sale price per unit (USD M)</t>
        </is>
      </c>
      <c r="D28" s="137">
        <f>Inputs!D16</f>
        <v/>
      </c>
      <c r="E28" s="137">
        <f>Inputs!E16</f>
        <v/>
      </c>
      <c r="F28" s="137">
        <f>Inputs!F16</f>
        <v/>
      </c>
    </row>
    <row r="29" ht="15" customHeight="1" s="74">
      <c r="B29" s="79" t="inlineStr">
        <is>
          <t>Average annual revenue per allied / sovereign programme (USD M)</t>
        </is>
      </c>
      <c r="D29" s="137">
        <f>Inputs!D17</f>
        <v/>
      </c>
      <c r="E29" s="137">
        <f>Inputs!E17</f>
        <v/>
      </c>
      <c r="F29" s="137">
        <f>Inputs!F17</f>
        <v/>
      </c>
    </row>
    <row r="30" ht="15" customHeight="1" s="74">
      <c r="B30" s="79" t="inlineStr">
        <is>
          <t>Post-conflict / clearance programme revenue at maturity (USD M per programme-year)</t>
        </is>
      </c>
      <c r="D30" s="137">
        <f>Inputs!D18</f>
        <v/>
      </c>
      <c r="E30" s="137">
        <f>Inputs!E18</f>
        <v/>
      </c>
      <c r="F30" s="137">
        <f>Inputs!F18</f>
        <v/>
      </c>
    </row>
    <row r="31" ht="15" customHeight="1" s="74">
      <c r="B31" s="79" t="inlineStr">
        <is>
          <t>Custody destruction services</t>
        </is>
      </c>
      <c r="D31" s="127">
        <f>Inputs!D20</f>
        <v/>
      </c>
      <c r="E31" s="127">
        <f>Inputs!E20</f>
        <v/>
      </c>
      <c r="F31" s="127">
        <f>Inputs!F20</f>
        <v/>
      </c>
    </row>
    <row r="32" ht="15" customHeight="1" s="74">
      <c r="B32" s="79" t="inlineStr">
        <is>
          <t>Equipment sales</t>
        </is>
      </c>
      <c r="D32" s="127">
        <f>Inputs!D21</f>
        <v/>
      </c>
      <c r="E32" s="127">
        <f>Inputs!E21</f>
        <v/>
      </c>
      <c r="F32" s="127">
        <f>Inputs!F21</f>
        <v/>
      </c>
    </row>
    <row r="33" ht="15" customHeight="1" s="74">
      <c r="B33" s="79" t="inlineStr">
        <is>
          <t>Allied / sovereign programmes</t>
        </is>
      </c>
      <c r="D33" s="127">
        <f>Inputs!D22</f>
        <v/>
      </c>
      <c r="E33" s="127">
        <f>Inputs!E22</f>
        <v/>
      </c>
      <c r="F33" s="127">
        <f>Inputs!F22</f>
        <v/>
      </c>
    </row>
    <row r="34" ht="15" customHeight="1" s="74">
      <c r="B34" s="79" t="inlineStr">
        <is>
          <t>Post-conflict programmes</t>
        </is>
      </c>
      <c r="D34" s="127">
        <f>Inputs!D23</f>
        <v/>
      </c>
      <c r="E34" s="127">
        <f>Inputs!E23</f>
        <v/>
      </c>
      <c r="F34" s="127">
        <f>Inputs!F23</f>
        <v/>
      </c>
    </row>
    <row r="35" ht="15" customHeight="1" s="74">
      <c r="B35" s="79" t="inlineStr">
        <is>
          <t>Metals recovery (contribution after processing &amp; logistics)</t>
        </is>
      </c>
      <c r="D35" s="127">
        <f>Inputs!D24</f>
        <v/>
      </c>
      <c r="E35" s="127">
        <f>Inputs!E24</f>
        <v/>
      </c>
      <c r="F35" s="127">
        <f>Inputs!F24</f>
        <v/>
      </c>
    </row>
    <row r="36" ht="15" customHeight="1" s="74">
      <c r="B36" s="79" t="inlineStr">
        <is>
          <t>Corporate cost scale factor vs Base schedule</t>
        </is>
      </c>
      <c r="D36" s="138">
        <f>Inputs!D26</f>
        <v/>
      </c>
      <c r="E36" s="138">
        <f>Inputs!E26</f>
        <v/>
      </c>
      <c r="F36" s="138">
        <f>Inputs!F26</f>
        <v/>
      </c>
    </row>
    <row r="37" ht="15" customHeight="1" s="74">
      <c r="B37" s="79" t="inlineStr">
        <is>
          <t>Incremental platform overhead as % of acquired revenue</t>
        </is>
      </c>
      <c r="D37" s="127">
        <f>Inputs!D27</f>
        <v/>
      </c>
      <c r="E37" s="127">
        <f>Inputs!E27</f>
        <v/>
      </c>
      <c r="F37" s="127">
        <f>Inputs!F27</f>
        <v/>
      </c>
    </row>
    <row r="38" ht="15" customHeight="1" s="74">
      <c r="B38" s="79" t="inlineStr">
        <is>
          <t>Post-acquisition revenue growth of acquired businesses</t>
        </is>
      </c>
      <c r="D38" s="127">
        <f>Inputs!D29</f>
        <v/>
      </c>
      <c r="E38" s="127">
        <f>Inputs!E29</f>
        <v/>
      </c>
      <c r="F38" s="127">
        <f>Inputs!F29</f>
        <v/>
      </c>
    </row>
    <row r="39" ht="15" customHeight="1" s="74">
      <c r="B39" s="79" t="inlineStr">
        <is>
          <t>EBITDA margin uplift on acquired businesses by third year post-close (pts)</t>
        </is>
      </c>
      <c r="D39" s="127">
        <f>Inputs!D30</f>
        <v/>
      </c>
      <c r="E39" s="127">
        <f>Inputs!E30</f>
        <v/>
      </c>
      <c r="F39" s="127">
        <f>Inputs!F30</f>
        <v/>
      </c>
    </row>
    <row r="40" ht="15" customHeight="1" s="74">
      <c r="B40" s="79" t="inlineStr">
        <is>
          <t>One-off integration cost as % of purchase price</t>
        </is>
      </c>
      <c r="D40" s="127">
        <f>Inputs!D31</f>
        <v/>
      </c>
      <c r="E40" s="127">
        <f>Inputs!E31</f>
        <v/>
      </c>
      <c r="F40" s="127">
        <f>Inputs!F31</f>
        <v/>
      </c>
    </row>
    <row r="41" ht="15" customHeight="1" s="74">
      <c r="B41" s="79" t="inlineStr">
        <is>
          <t>Close-year shift applied to every deal (years; +1 = later)</t>
        </is>
      </c>
      <c r="D41" s="139">
        <f>Inputs!D32</f>
        <v/>
      </c>
      <c r="E41" s="139">
        <f>Inputs!E32</f>
        <v/>
      </c>
      <c r="F41" s="139">
        <f>Inputs!F32</f>
        <v/>
      </c>
    </row>
    <row r="42" ht="15" customHeight="1" s="74">
      <c r="B42" s="79" t="inlineStr">
        <is>
          <t>Fleet capex — cost to build one eMACS unit (USD M)</t>
        </is>
      </c>
      <c r="D42" s="137">
        <f>Inputs!D36</f>
        <v/>
      </c>
      <c r="E42" s="137">
        <f>Inputs!E36</f>
        <v/>
      </c>
      <c r="F42" s="137">
        <f>Inputs!F36</f>
        <v/>
      </c>
    </row>
    <row r="43" ht="15" customHeight="1" s="74">
      <c r="B43" s="79" t="inlineStr">
        <is>
          <t>Maintenance capex — % of total revenue</t>
        </is>
      </c>
      <c r="D43" s="127">
        <f>Inputs!D37</f>
        <v/>
      </c>
      <c r="E43" s="127">
        <f>Inputs!E37</f>
        <v/>
      </c>
      <c r="F43" s="127">
        <f>Inputs!F37</f>
        <v/>
      </c>
    </row>
    <row r="44" ht="15" customHeight="1" s="74">
      <c r="B44" s="79" t="inlineStr">
        <is>
          <t>Working capital — % of incremental revenue</t>
        </is>
      </c>
      <c r="D44" s="127">
        <f>Inputs!D38</f>
        <v/>
      </c>
      <c r="E44" s="127">
        <f>Inputs!E38</f>
        <v/>
      </c>
      <c r="F44" s="127">
        <f>Inputs!F38</f>
        <v/>
      </c>
    </row>
    <row r="45" ht="15" customHeight="1" s="74">
      <c r="B45" s="79" t="inlineStr">
        <is>
          <t>Development &amp; partnership programme spend scale vs Base schedule</t>
        </is>
      </c>
      <c r="D45" s="138">
        <f>Inputs!D39</f>
        <v/>
      </c>
      <c r="E45" s="138">
        <f>Inputs!E39</f>
        <v/>
      </c>
      <c r="F45" s="138">
        <f>Inputs!F39</f>
        <v/>
      </c>
    </row>
    <row r="46" ht="15" customHeight="1" s="74">
      <c r="B46" s="79" t="inlineStr">
        <is>
          <t>Cash tax rate on positive EBIT (simplified)</t>
        </is>
      </c>
      <c r="D46" s="127">
        <f>Inputs!D40</f>
        <v/>
      </c>
      <c r="E46" s="127">
        <f>Inputs!E40</f>
        <v/>
      </c>
      <c r="F46" s="127">
        <f>Inputs!F40</f>
        <v/>
      </c>
    </row>
    <row r="47" ht="15" customHeight="1" s="74">
      <c r="B47" s="79" t="inlineStr">
        <is>
          <t>Depreciation &amp; amortisation — % of revenue (for tax only)</t>
        </is>
      </c>
      <c r="D47" s="127">
        <f>Inputs!D41</f>
        <v/>
      </c>
      <c r="E47" s="127">
        <f>Inputs!E41</f>
        <v/>
      </c>
      <c r="F47" s="127">
        <f>Inputs!F41</f>
        <v/>
      </c>
    </row>
    <row r="48" ht="15" customHeight="1" s="74">
      <c r="B48" s="79" t="inlineStr">
        <is>
          <t>Exit EV/EBITDA multiple (returns case)</t>
        </is>
      </c>
      <c r="D48" s="128">
        <f>Inputs!D43</f>
        <v/>
      </c>
      <c r="E48" s="128">
        <f>Inputs!E43</f>
        <v/>
      </c>
      <c r="F48" s="128">
        <f>Inputs!F43</f>
        <v/>
      </c>
    </row>
    <row r="49" ht="15" customHeight="1" s="74">
      <c r="B49" s="79" t="inlineStr">
        <is>
          <t>Discount rate — Year-10 DFV bridge</t>
        </is>
      </c>
      <c r="D49" s="127">
        <f>Inputs!D44</f>
        <v/>
      </c>
      <c r="E49" s="127">
        <f>Inputs!E44</f>
        <v/>
      </c>
      <c r="F49" s="127">
        <f>Inputs!F44</f>
        <v/>
      </c>
    </row>
    <row r="50" ht="15" customHeight="1" s="74">
      <c r="B50" s="76" t="inlineStr">
        <is>
          <t>Plus: yearly schedules (fleet additions, unit sales, programmes) and the acquisition on/off flags — see Inputs §G and the Acquisitions tab.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66705F"/>
    <outlinePr summaryBelow="1" summaryRight="1"/>
    <pageSetUpPr fitToPage="0"/>
  </sheetPr>
  <dimension ref="B2:E7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16" customWidth="1" style="73" min="3" max="3"/>
    <col width="14" customWidth="1" style="73" min="4" max="4"/>
    <col width="60" customWidth="1" style="73" min="5" max="5"/>
    <col width="11" customWidth="1" style="73" min="6" max="14"/>
  </cols>
  <sheetData>
    <row r="2" ht="17.25" customHeight="1" s="74">
      <c r="B2" s="75" t="inlineStr">
        <is>
          <t>Outputs — deck &amp; memo tie-out</t>
        </is>
      </c>
    </row>
    <row r="3" ht="15" customHeight="1" s="74">
      <c r="B3" s="76" t="inlineStr">
        <is>
          <t>Every figure quoted in the deck or memo, with the slide/section that uses it. Live under the selected scenario.</t>
        </is>
      </c>
    </row>
    <row r="6" ht="15" customHeight="1" s="74">
      <c r="B6" s="85" t="inlineStr">
        <is>
          <t>Figure</t>
        </is>
      </c>
      <c r="C6" s="85" t="inlineStr">
        <is>
          <t>Value</t>
        </is>
      </c>
      <c r="D6" s="85" t="inlineStr">
        <is>
          <t>Unit</t>
        </is>
      </c>
      <c r="E6" s="85" t="inlineStr">
        <is>
          <t>Used on</t>
        </is>
      </c>
    </row>
    <row r="7" ht="15" customHeight="1" s="74">
      <c r="B7" s="79" t="inlineStr">
        <is>
          <t>Active scenario</t>
        </is>
      </c>
      <c r="C7" s="83">
        <f>Inputs!C7</f>
        <v/>
      </c>
      <c r="D7" s="105" t="n"/>
      <c r="E7" s="76" t="inlineStr">
        <is>
          <t>All</t>
        </is>
      </c>
    </row>
    <row r="8" ht="15" customHeight="1" s="74">
      <c r="B8" s="79" t="inlineStr">
        <is>
          <t>Revenue Y0 (2026)</t>
        </is>
      </c>
      <c r="C8" s="110">
        <f>'P&amp;L &amp; Capital'!D12</f>
        <v/>
      </c>
      <c r="D8" s="105" t="inlineStr">
        <is>
          <t>USD M</t>
        </is>
      </c>
      <c r="E8" s="76" t="inlineStr">
        <is>
          <t>Memo §3</t>
        </is>
      </c>
    </row>
    <row r="9" ht="15" customHeight="1" s="74">
      <c r="B9" s="79" t="inlineStr">
        <is>
          <t>Revenue Y2 (2028)</t>
        </is>
      </c>
      <c r="C9" s="110">
        <f>'P&amp;L &amp; Capital'!F12</f>
        <v/>
      </c>
      <c r="D9" s="105" t="inlineStr">
        <is>
          <t>USD M</t>
        </is>
      </c>
      <c r="E9" s="76" t="inlineStr">
        <is>
          <t>Deck — Revenue build</t>
        </is>
      </c>
    </row>
    <row r="10" ht="15" customHeight="1" s="74">
      <c r="B10" s="79" t="inlineStr">
        <is>
          <t>Revenue Y4 (2030)</t>
        </is>
      </c>
      <c r="C10" s="110">
        <f>'P&amp;L &amp; Capital'!H12</f>
        <v/>
      </c>
      <c r="D10" s="105" t="inlineStr">
        <is>
          <t>USD M</t>
        </is>
      </c>
      <c r="E10" s="76" t="inlineStr">
        <is>
          <t>Deck — Revenue build</t>
        </is>
      </c>
    </row>
    <row r="11" ht="15" customHeight="1" s="74">
      <c r="B11" s="79" t="inlineStr">
        <is>
          <t>Revenue Y5 (2031)</t>
        </is>
      </c>
      <c r="C11" s="110">
        <f>'P&amp;L &amp; Capital'!I12</f>
        <v/>
      </c>
      <c r="D11" s="105" t="inlineStr">
        <is>
          <t>USD M</t>
        </is>
      </c>
      <c r="E11" s="76" t="inlineStr">
        <is>
          <t>Deck — Revenue build, Market (SOM)</t>
        </is>
      </c>
    </row>
    <row r="12" ht="15" customHeight="1" s="74">
      <c r="B12" s="79" t="inlineStr">
        <is>
          <t>Revenue Y6 (2032)</t>
        </is>
      </c>
      <c r="C12" s="110">
        <f>'P&amp;L &amp; Capital'!J12</f>
        <v/>
      </c>
      <c r="D12" s="105" t="inlineStr">
        <is>
          <t>USD M</t>
        </is>
      </c>
      <c r="E12" s="76" t="inlineStr">
        <is>
          <t>Deck — Revenue build</t>
        </is>
      </c>
    </row>
    <row r="13" ht="15" customHeight="1" s="74">
      <c r="B13" s="79" t="inlineStr">
        <is>
          <t>Revenue Y7 (2033)</t>
        </is>
      </c>
      <c r="C13" s="110">
        <f>'P&amp;L &amp; Capital'!K12</f>
        <v/>
      </c>
      <c r="D13" s="105" t="inlineStr">
        <is>
          <t>USD M</t>
        </is>
      </c>
      <c r="E13" s="76" t="inlineStr">
        <is>
          <t>Deck — Returns</t>
        </is>
      </c>
    </row>
    <row r="14" ht="15" customHeight="1" s="74">
      <c r="B14" s="79" t="inlineStr">
        <is>
          <t>Revenue Y8 (2034)</t>
        </is>
      </c>
      <c r="C14" s="110">
        <f>'P&amp;L &amp; Capital'!L12</f>
        <v/>
      </c>
      <c r="D14" s="105" t="inlineStr">
        <is>
          <t>USD M</t>
        </is>
      </c>
      <c r="E14" s="76" t="inlineStr">
        <is>
          <t>Deck — Revenue build</t>
        </is>
      </c>
    </row>
    <row r="15" ht="15" customHeight="1" s="74">
      <c r="B15" s="79" t="inlineStr">
        <is>
          <t>Revenue Y10 (2036)</t>
        </is>
      </c>
      <c r="C15" s="110">
        <f>'P&amp;L &amp; Capital'!N12</f>
        <v/>
      </c>
      <c r="D15" s="105" t="inlineStr">
        <is>
          <t>USD M</t>
        </is>
      </c>
      <c r="E15" s="76" t="inlineStr">
        <is>
          <t>Deck — Revenue build, Bridge</t>
        </is>
      </c>
    </row>
    <row r="16" ht="15" customHeight="1" s="74">
      <c r="B16" s="79" t="inlineStr">
        <is>
          <t>Organic revenue Y10</t>
        </is>
      </c>
      <c r="C16" s="110">
        <f>'P&amp;L &amp; Capital'!N10</f>
        <v/>
      </c>
      <c r="D16" s="105" t="inlineStr">
        <is>
          <t>USD M</t>
        </is>
      </c>
      <c r="E16" s="76" t="inlineStr">
        <is>
          <t>Deck — Revenue build</t>
        </is>
      </c>
    </row>
    <row r="17" ht="15" customHeight="1" s="74">
      <c r="B17" s="79" t="inlineStr">
        <is>
          <t>Acquired revenue Y10</t>
        </is>
      </c>
      <c r="C17" s="110">
        <f>'P&amp;L &amp; Capital'!N11</f>
        <v/>
      </c>
      <c r="D17" s="105" t="inlineStr">
        <is>
          <t>USD M</t>
        </is>
      </c>
      <c r="E17" s="76" t="inlineStr">
        <is>
          <t>Deck — Revenue build</t>
        </is>
      </c>
    </row>
    <row r="18" ht="15" customHeight="1" s="74">
      <c r="B18" s="79" t="inlineStr">
        <is>
          <t>Acquired share of revenue Y10</t>
        </is>
      </c>
      <c r="C18" s="92">
        <f>'P&amp;L &amp; Capital'!N14</f>
        <v/>
      </c>
      <c r="D18" s="105" t="inlineStr">
        <is>
          <t>%</t>
        </is>
      </c>
      <c r="E18" s="76" t="inlineStr">
        <is>
          <t>Deck — Revenue build</t>
        </is>
      </c>
    </row>
    <row r="19" ht="15" customHeight="1" s="74">
      <c r="B19" s="79" t="inlineStr">
        <is>
          <t>Adjusted EBITDA Y5</t>
        </is>
      </c>
      <c r="C19" s="110">
        <f>'P&amp;L &amp; Capital'!I23</f>
        <v/>
      </c>
      <c r="D19" s="105" t="inlineStr">
        <is>
          <t>USD M</t>
        </is>
      </c>
      <c r="E19" s="76" t="inlineStr">
        <is>
          <t>Deck — Financial summary</t>
        </is>
      </c>
    </row>
    <row r="20" ht="15" customHeight="1" s="74">
      <c r="B20" s="79" t="inlineStr">
        <is>
          <t>Adjusted EBITDA Y7</t>
        </is>
      </c>
      <c r="C20" s="110">
        <f>'P&amp;L &amp; Capital'!K23</f>
        <v/>
      </c>
      <c r="D20" s="105" t="inlineStr">
        <is>
          <t>USD M</t>
        </is>
      </c>
      <c r="E20" s="76" t="inlineStr">
        <is>
          <t>Deck — Returns</t>
        </is>
      </c>
    </row>
    <row r="21" ht="15" customHeight="1" s="74">
      <c r="B21" s="79" t="inlineStr">
        <is>
          <t>Adjusted EBITDA Y10</t>
        </is>
      </c>
      <c r="C21" s="110">
        <f>'P&amp;L &amp; Capital'!N23</f>
        <v/>
      </c>
      <c r="D21" s="105" t="inlineStr">
        <is>
          <t>USD M</t>
        </is>
      </c>
      <c r="E21" s="76" t="inlineStr">
        <is>
          <t>Deck — Bridge</t>
        </is>
      </c>
    </row>
    <row r="22" ht="15" customHeight="1" s="74">
      <c r="B22" s="79" t="inlineStr">
        <is>
          <t>Adjusted EBITDA margin Y5</t>
        </is>
      </c>
      <c r="C22" s="92">
        <f>'P&amp;L &amp; Capital'!I24</f>
        <v/>
      </c>
      <c r="D22" s="105" t="inlineStr">
        <is>
          <t>%</t>
        </is>
      </c>
      <c r="E22" s="76" t="inlineStr">
        <is>
          <t>Deck — Financial summary</t>
        </is>
      </c>
    </row>
    <row r="23" ht="15" customHeight="1" s="74">
      <c r="B23" s="79" t="inlineStr">
        <is>
          <t>Adjusted EBITDA margin Y10</t>
        </is>
      </c>
      <c r="C23" s="92">
        <f>'P&amp;L &amp; Capital'!N24</f>
        <v/>
      </c>
      <c r="D23" s="105" t="inlineStr">
        <is>
          <t>%</t>
        </is>
      </c>
      <c r="E23" s="76" t="inlineStr">
        <is>
          <t>Deck — Bridge</t>
        </is>
      </c>
    </row>
    <row r="24" ht="15" customHeight="1" s="74">
      <c r="B24" s="79" t="inlineStr">
        <is>
          <t>Acquisitions in plan (count)</t>
        </is>
      </c>
      <c r="C24" s="108">
        <f>Acquisitions!H15</f>
        <v/>
      </c>
      <c r="D24" s="105" t="inlineStr">
        <is>
          <t>count</t>
        </is>
      </c>
      <c r="E24" s="76" t="inlineStr">
        <is>
          <t>Deck — Roadmap, Revenue build</t>
        </is>
      </c>
    </row>
    <row r="25" ht="15" customHeight="1" s="74">
      <c r="B25" s="79" t="inlineStr">
        <is>
          <t>Total acquisition consideration (live basis)</t>
        </is>
      </c>
      <c r="C25" s="110">
        <f>Acquisitions!I14</f>
        <v/>
      </c>
      <c r="D25" s="105" t="inlineStr">
        <is>
          <t>USD M</t>
        </is>
      </c>
      <c r="E25" s="76" t="inlineStr">
        <is>
          <t>Deck — Capital</t>
        </is>
      </c>
    </row>
    <row r="26" ht="15" customHeight="1" s="74">
      <c r="B26" s="79" t="inlineStr">
        <is>
          <t>Total consideration at 2.0x-revenue stress</t>
        </is>
      </c>
      <c r="C26" s="110">
        <f>Acquisitions!K14</f>
        <v/>
      </c>
      <c r="D26" s="105" t="inlineStr">
        <is>
          <t>USD M</t>
        </is>
      </c>
      <c r="E26" s="76" t="inlineStr">
        <is>
          <t>Deck — Capital, Memo</t>
        </is>
      </c>
    </row>
    <row r="27" ht="15" customHeight="1" s="74">
      <c r="B27" s="79" t="inlineStr">
        <is>
          <t>Total entry revenue acquired</t>
        </is>
      </c>
      <c r="C27" s="110">
        <f>Acquisitions!E14</f>
        <v/>
      </c>
      <c r="D27" s="105" t="inlineStr">
        <is>
          <t>USD M</t>
        </is>
      </c>
      <c r="E27" s="76" t="inlineStr">
        <is>
          <t>Memo</t>
        </is>
      </c>
    </row>
    <row r="28" ht="15" customHeight="1" s="74">
      <c r="B28" s="79" t="inlineStr">
        <is>
          <t>Blended price / entry revenue</t>
        </is>
      </c>
      <c r="C28" s="100">
        <f>Acquisitions!I16</f>
        <v/>
      </c>
      <c r="D28" s="105" t="inlineStr">
        <is>
          <t>x</t>
        </is>
      </c>
      <c r="E28" s="76" t="inlineStr">
        <is>
          <t>Memo</t>
        </is>
      </c>
    </row>
    <row r="29" ht="15" customHeight="1" s="74">
      <c r="B29" s="79" t="inlineStr">
        <is>
          <t>Capital required — Phase 1 (2026–27)</t>
        </is>
      </c>
      <c r="C29" s="110">
        <f>'P&amp;L &amp; Capital'!D40</f>
        <v/>
      </c>
      <c r="D29" s="105" t="inlineStr">
        <is>
          <t>USD M</t>
        </is>
      </c>
      <c r="E29" s="76" t="inlineStr">
        <is>
          <t>Deck — Capital</t>
        </is>
      </c>
    </row>
    <row r="30" ht="15" customHeight="1" s="74">
      <c r="B30" s="79" t="inlineStr">
        <is>
          <t>Capital required — Phase 2 (2028–29)</t>
        </is>
      </c>
      <c r="C30" s="110">
        <f>'P&amp;L &amp; Capital'!D41</f>
        <v/>
      </c>
      <c r="D30" s="105" t="inlineStr">
        <is>
          <t>USD M</t>
        </is>
      </c>
      <c r="E30" s="76" t="inlineStr">
        <is>
          <t>Deck — Capital</t>
        </is>
      </c>
    </row>
    <row r="31" ht="15" customHeight="1" s="74">
      <c r="B31" s="79" t="inlineStr">
        <is>
          <t>Capital required — Phase 3 (2030–31)</t>
        </is>
      </c>
      <c r="C31" s="110">
        <f>'P&amp;L &amp; Capital'!D42</f>
        <v/>
      </c>
      <c r="D31" s="105" t="inlineStr">
        <is>
          <t>USD M</t>
        </is>
      </c>
      <c r="E31" s="76" t="inlineStr">
        <is>
          <t>Deck — Capital</t>
        </is>
      </c>
    </row>
    <row r="32" ht="15" customHeight="1" s="74">
      <c r="B32" s="79" t="inlineStr">
        <is>
          <t>Capital required — 2032–36</t>
        </is>
      </c>
      <c r="C32" s="110">
        <f>'P&amp;L &amp; Capital'!D43</f>
        <v/>
      </c>
      <c r="D32" s="105" t="inlineStr">
        <is>
          <t>USD M</t>
        </is>
      </c>
      <c r="E32" s="76" t="inlineStr">
        <is>
          <t>Deck — Capital</t>
        </is>
      </c>
    </row>
    <row r="33" ht="15" customHeight="1" s="74">
      <c r="B33" s="79" t="inlineStr">
        <is>
          <t>Total equity funding drawn 2026–36</t>
        </is>
      </c>
      <c r="C33" s="110">
        <f>'P&amp;L &amp; Capital'!D44</f>
        <v/>
      </c>
      <c r="D33" s="105" t="inlineStr">
        <is>
          <t>USD M</t>
        </is>
      </c>
      <c r="E33" s="76" t="inlineStr">
        <is>
          <t>Deck — Capital, Returns</t>
        </is>
      </c>
    </row>
    <row r="34" ht="15" customHeight="1" s="74">
      <c r="B34" s="79" t="inlineStr">
        <is>
          <t>Peak cumulative funding requirement</t>
        </is>
      </c>
      <c r="C34" s="110">
        <f>'P&amp;L &amp; Capital'!D47</f>
        <v/>
      </c>
      <c r="D34" s="105" t="inlineStr">
        <is>
          <t>USD M</t>
        </is>
      </c>
      <c r="E34" s="76" t="inlineStr">
        <is>
          <t>Memo</t>
        </is>
      </c>
    </row>
    <row r="35" ht="15" customHeight="1" s="74">
      <c r="B35" s="79" t="inlineStr">
        <is>
          <t>Gross use 2026–36: acquisition consideration</t>
        </is>
      </c>
      <c r="C35" s="110">
        <f>-SUM('P&amp;L &amp; Capital'!D31:N31)</f>
        <v/>
      </c>
      <c r="D35" s="105" t="inlineStr">
        <is>
          <t>USD M</t>
        </is>
      </c>
      <c r="E35" s="76" t="inlineStr">
        <is>
          <t>Deck — Capital</t>
        </is>
      </c>
    </row>
    <row r="36" ht="15" customHeight="1" s="74">
      <c r="B36" s="79" t="inlineStr">
        <is>
          <t>Gross use 2026–36: integration costs</t>
        </is>
      </c>
      <c r="C36" s="110">
        <f>-SUM('P&amp;L &amp; Capital'!D21:N21)</f>
        <v/>
      </c>
      <c r="D36" s="105" t="inlineStr">
        <is>
          <t>USD M</t>
        </is>
      </c>
      <c r="E36" s="76" t="inlineStr">
        <is>
          <t>Deck — Capital</t>
        </is>
      </c>
    </row>
    <row r="37" ht="15" customHeight="1" s="74">
      <c r="B37" s="79" t="inlineStr">
        <is>
          <t>Gross use 2026–36: fleet &amp; maintenance capex</t>
        </is>
      </c>
      <c r="C37" s="110">
        <f>-SUM('P&amp;L &amp; Capital'!D28:N28)-SUM('P&amp;L &amp; Capital'!D29:N29)</f>
        <v/>
      </c>
      <c r="D37" s="105" t="inlineStr">
        <is>
          <t>USD M</t>
        </is>
      </c>
      <c r="E37" s="76" t="inlineStr">
        <is>
          <t>Deck — Capital</t>
        </is>
      </c>
    </row>
    <row r="38" ht="15" customHeight="1" s="74">
      <c r="B38" s="79" t="inlineStr">
        <is>
          <t>Gross use 2026–36: development &amp; partnership programmes</t>
        </is>
      </c>
      <c r="C38" s="110">
        <f>-SUM('P&amp;L &amp; Capital'!D20:N20)</f>
        <v/>
      </c>
      <c r="D38" s="105" t="inlineStr">
        <is>
          <t>USD M</t>
        </is>
      </c>
      <c r="E38" s="76" t="inlineStr">
        <is>
          <t>Deck — Capital</t>
        </is>
      </c>
    </row>
    <row r="39" ht="15" customHeight="1" s="74">
      <c r="B39" s="79" t="inlineStr">
        <is>
          <t>Gross use 2026–36: working capital</t>
        </is>
      </c>
      <c r="C39" s="110">
        <f>-SUM('P&amp;L &amp; Capital'!D30:N30)</f>
        <v/>
      </c>
      <c r="D39" s="105" t="inlineStr">
        <is>
          <t>USD M</t>
        </is>
      </c>
      <c r="E39" s="76" t="inlineStr">
        <is>
          <t>Deck — Capital</t>
        </is>
      </c>
    </row>
    <row r="40" ht="15" customHeight="1" s="74">
      <c r="B40" s="79" t="inlineStr">
        <is>
          <t>Gross use: corporate platform cost 2026–28</t>
        </is>
      </c>
      <c r="C40" s="110">
        <f>-SUM('P&amp;L &amp; Capital'!D19:F19)</f>
        <v/>
      </c>
      <c r="D40" s="105" t="inlineStr">
        <is>
          <t>USD M</t>
        </is>
      </c>
      <c r="E40" s="76" t="inlineStr">
        <is>
          <t>Deck — Capital</t>
        </is>
      </c>
    </row>
    <row r="41" ht="15" customHeight="1" s="74">
      <c r="B41" s="79" t="inlineStr">
        <is>
          <t>Initial raise (Round 1) — amount</t>
        </is>
      </c>
      <c r="C41" s="110">
        <f>Inputs!$C$50</f>
        <v/>
      </c>
      <c r="D41" s="105" t="inlineStr">
        <is>
          <t>USD M</t>
        </is>
      </c>
      <c r="E41" s="76" t="inlineStr">
        <is>
          <t>Deck — The Ask</t>
        </is>
      </c>
    </row>
    <row r="42" ht="15" customHeight="1" s="74">
      <c r="B42" s="79" t="inlineStr">
        <is>
          <t>Initial raise — Phase 1 portion (fully funds Phase 1)</t>
        </is>
      </c>
      <c r="C42" s="110">
        <f>'P&amp;L &amp; Capital'!D40</f>
        <v/>
      </c>
      <c r="D42" s="105" t="inlineStr">
        <is>
          <t>USD M</t>
        </is>
      </c>
      <c r="E42" s="76" t="inlineStr">
        <is>
          <t>Deck — The Ask</t>
        </is>
      </c>
    </row>
    <row r="43" ht="15" customHeight="1" s="74">
      <c r="B43" s="79" t="inlineStr">
        <is>
          <t>Initial raise — reserve toward first-acquisition diligence &amp; working capital</t>
        </is>
      </c>
      <c r="C43" s="110">
        <f>Inputs!$C$50-'P&amp;L &amp; Capital'!D40</f>
        <v/>
      </c>
      <c r="D43" s="105" t="inlineStr">
        <is>
          <t>USD M</t>
        </is>
      </c>
      <c r="E43" s="76" t="inlineStr">
        <is>
          <t>Deck — The Ask</t>
        </is>
      </c>
    </row>
    <row r="44" ht="15" customHeight="1" s="74">
      <c r="B44" s="79" t="inlineStr">
        <is>
          <t>Initial raise as % of full Phase 1+2 requirement</t>
        </is>
      </c>
      <c r="C44" s="92">
        <f>Inputs!$C$50/('P&amp;L &amp; Capital'!D40+'P&amp;L &amp; Capital'!D41)</f>
        <v/>
      </c>
      <c r="D44" s="105" t="inlineStr">
        <is>
          <t>%</t>
        </is>
      </c>
      <c r="E44" s="76" t="inlineStr">
        <is>
          <t>Deck — The Ask</t>
        </is>
      </c>
    </row>
    <row r="45" ht="15" customHeight="1" s="74">
      <c r="B45" s="79" t="inlineStr">
        <is>
          <t>First acquisition (Large-calibre &amp; artillery) — consideration at entry</t>
        </is>
      </c>
      <c r="C45" s="110">
        <f>Acquisitions!I7</f>
        <v/>
      </c>
      <c r="D45" s="105" t="inlineStr">
        <is>
          <t>USD M</t>
        </is>
      </c>
      <c r="E45" s="76" t="inlineStr">
        <is>
          <t>Deck — The Ask, De-risking</t>
        </is>
      </c>
    </row>
    <row r="46" ht="15" customHeight="1" s="74">
      <c r="B46" s="79" t="inlineStr">
        <is>
          <t>Second acquisition (Metals recovery) — consideration at entry</t>
        </is>
      </c>
      <c r="C46" s="110">
        <f>Acquisitions!I8</f>
        <v/>
      </c>
      <c r="D46" s="105" t="inlineStr">
        <is>
          <t>USD M</t>
        </is>
      </c>
      <c r="E46" s="76" t="inlineStr">
        <is>
          <t>Deck — The Ask, De-risking</t>
        </is>
      </c>
    </row>
    <row r="47" ht="15" customHeight="1" s="74">
      <c r="B47" s="79" t="inlineStr">
        <is>
          <t>First two acquisitions — combined consideration</t>
        </is>
      </c>
      <c r="C47" s="110">
        <f>Acquisitions!I7+Acquisitions!I8</f>
        <v/>
      </c>
      <c r="D47" s="105" t="inlineStr">
        <is>
          <t>USD M</t>
        </is>
      </c>
      <c r="E47" s="76" t="inlineStr">
        <is>
          <t>Deck — The Ask, De-risking</t>
        </is>
      </c>
    </row>
    <row r="48" ht="15" customHeight="1" s="74">
      <c r="B48" s="79" t="inlineStr">
        <is>
          <t>eMACS units in service Y5</t>
        </is>
      </c>
      <c r="C48" s="108">
        <f>'Organic Build'!I11</f>
        <v/>
      </c>
      <c r="D48" s="105" t="inlineStr">
        <is>
          <t>count</t>
        </is>
      </c>
      <c r="E48" s="76" t="inlineStr">
        <is>
          <t>Memo</t>
        </is>
      </c>
    </row>
    <row r="49" ht="15" customHeight="1" s="74">
      <c r="B49" s="79" t="inlineStr">
        <is>
          <t>eMACS units in service Y10</t>
        </is>
      </c>
      <c r="C49" s="108">
        <f>'Organic Build'!N11</f>
        <v/>
      </c>
      <c r="D49" s="105" t="inlineStr">
        <is>
          <t>count</t>
        </is>
      </c>
      <c r="E49" s="76" t="inlineStr">
        <is>
          <t>Memo</t>
        </is>
      </c>
    </row>
    <row r="50" ht="15" customHeight="1" s="74">
      <c r="B50" s="79" t="inlineStr">
        <is>
          <t>Total FTE Y5</t>
        </is>
      </c>
      <c r="C50" s="108">
        <f>Headcount!I16</f>
        <v/>
      </c>
      <c r="D50" s="105" t="inlineStr">
        <is>
          <t>FTE</t>
        </is>
      </c>
      <c r="E50" s="76" t="inlineStr">
        <is>
          <t>Deck — Financial summary</t>
        </is>
      </c>
    </row>
    <row r="51" ht="15" customHeight="1" s="74">
      <c r="B51" s="79" t="inlineStr">
        <is>
          <t>Total FTE Y10</t>
        </is>
      </c>
      <c r="C51" s="108">
        <f>Headcount!N16</f>
        <v/>
      </c>
      <c r="D51" s="105" t="inlineStr">
        <is>
          <t>FTE</t>
        </is>
      </c>
      <c r="E51" s="76" t="inlineStr">
        <is>
          <t>Deck — Revenue build</t>
        </is>
      </c>
    </row>
    <row r="52" ht="15" customHeight="1" s="74">
      <c r="B52" s="79" t="inlineStr">
        <is>
          <t>TAM 2026 (forming annual)</t>
        </is>
      </c>
      <c r="C52" s="110">
        <f>Market!E15</f>
        <v/>
      </c>
      <c r="D52" s="105" t="inlineStr">
        <is>
          <t>USD M</t>
        </is>
      </c>
      <c r="E52" s="76" t="inlineStr">
        <is>
          <t>Deck — Market</t>
        </is>
      </c>
    </row>
    <row r="53" ht="15" customHeight="1" s="74">
      <c r="B53" s="79" t="inlineStr">
        <is>
          <t>TAM blended growth</t>
        </is>
      </c>
      <c r="C53" s="92">
        <f>Market!F15</f>
        <v/>
      </c>
      <c r="D53" s="105" t="inlineStr">
        <is>
          <t>%</t>
        </is>
      </c>
      <c r="E53" s="76" t="inlineStr">
        <is>
          <t>Deck — Market</t>
        </is>
      </c>
    </row>
    <row r="54" ht="15" customHeight="1" s="74">
      <c r="B54" s="79" t="inlineStr">
        <is>
          <t>Episodic layer — Ukraine EHM need 2026–35</t>
        </is>
      </c>
      <c r="C54" s="110">
        <f>Market!C16</f>
        <v/>
      </c>
      <c r="D54" s="105" t="inlineStr">
        <is>
          <t>USD M</t>
        </is>
      </c>
      <c r="E54" s="76" t="inlineStr">
        <is>
          <t>Deck — Market</t>
        </is>
      </c>
    </row>
    <row r="55" ht="15" customHeight="1" s="74">
      <c r="B55" s="79" t="inlineStr">
        <is>
          <t>SAM 2026</t>
        </is>
      </c>
      <c r="C55" s="110">
        <f>Market!E22</f>
        <v/>
      </c>
      <c r="D55" s="105" t="inlineStr">
        <is>
          <t>USD M</t>
        </is>
      </c>
      <c r="E55" s="76" t="inlineStr">
        <is>
          <t>Deck — Market</t>
        </is>
      </c>
    </row>
    <row r="56" ht="15" customHeight="1" s="74">
      <c r="B56" s="79" t="inlineStr">
        <is>
          <t>SAM Year 5</t>
        </is>
      </c>
      <c r="C56" s="110">
        <f>Market!E25</f>
        <v/>
      </c>
      <c r="D56" s="105" t="inlineStr">
        <is>
          <t>USD M</t>
        </is>
      </c>
      <c r="E56" s="76" t="inlineStr">
        <is>
          <t>Deck — Market</t>
        </is>
      </c>
    </row>
    <row r="57" ht="15" customHeight="1" s="74">
      <c r="B57" s="79" t="inlineStr">
        <is>
          <t>SAM Year 10</t>
        </is>
      </c>
      <c r="C57" s="110">
        <f>Market!E26</f>
        <v/>
      </c>
      <c r="D57" s="105" t="inlineStr">
        <is>
          <t>USD M</t>
        </is>
      </c>
      <c r="E57" s="76" t="inlineStr">
        <is>
          <t>Deck — Market</t>
        </is>
      </c>
    </row>
    <row r="58" ht="15" customHeight="1" s="74">
      <c r="B58" s="79" t="inlineStr">
        <is>
          <t>Share of SAM Year 5</t>
        </is>
      </c>
      <c r="C58" s="92">
        <f>Market!E30</f>
        <v/>
      </c>
      <c r="D58" s="105" t="inlineStr">
        <is>
          <t>%</t>
        </is>
      </c>
      <c r="E58" s="76" t="inlineStr">
        <is>
          <t>Deck — Market</t>
        </is>
      </c>
    </row>
    <row r="59" ht="15" customHeight="1" s="74">
      <c r="B59" s="79" t="inlineStr">
        <is>
          <t>Share of SAM Year 10</t>
        </is>
      </c>
      <c r="C59" s="92">
        <f>Market!E32</f>
        <v/>
      </c>
      <c r="D59" s="105" t="inlineStr">
        <is>
          <t>%</t>
        </is>
      </c>
      <c r="E59" s="76" t="inlineStr">
        <is>
          <t>Deck — Revenue build</t>
        </is>
      </c>
    </row>
    <row r="60" ht="15" customHeight="1" s="74">
      <c r="B60" s="79" t="inlineStr">
        <is>
          <t>Exit multiple (returns case)</t>
        </is>
      </c>
      <c r="C60" s="100">
        <f>Inputs!$C$43</f>
        <v/>
      </c>
      <c r="D60" s="105" t="inlineStr">
        <is>
          <t>x</t>
        </is>
      </c>
      <c r="E60" s="76" t="inlineStr">
        <is>
          <t>Deck — Returns</t>
        </is>
      </c>
    </row>
    <row r="61" ht="15" customHeight="1" s="74">
      <c r="B61" s="79" t="inlineStr">
        <is>
          <t>MOIC — exit Year 5</t>
        </is>
      </c>
      <c r="C61" s="100">
        <f>'Returns &amp; Valuation'!C19</f>
        <v/>
      </c>
      <c r="D61" s="105" t="inlineStr">
        <is>
          <t>x</t>
        </is>
      </c>
      <c r="E61" s="76" t="inlineStr">
        <is>
          <t>Deck — Returns</t>
        </is>
      </c>
    </row>
    <row r="62" ht="15" customHeight="1" s="74">
      <c r="B62" s="79" t="inlineStr">
        <is>
          <t>IRR — exit Year 5</t>
        </is>
      </c>
      <c r="C62" s="92">
        <f>'Returns &amp; Valuation'!C18</f>
        <v/>
      </c>
      <c r="D62" s="105" t="inlineStr">
        <is>
          <t>%</t>
        </is>
      </c>
      <c r="E62" s="76" t="inlineStr">
        <is>
          <t>Deck — Returns</t>
        </is>
      </c>
    </row>
    <row r="63" ht="15" customHeight="1" s="74">
      <c r="B63" s="79" t="inlineStr">
        <is>
          <t>MOIC — exit Year 7</t>
        </is>
      </c>
      <c r="C63" s="100">
        <f>'Returns &amp; Valuation'!C23</f>
        <v/>
      </c>
      <c r="D63" s="105" t="inlineStr">
        <is>
          <t>x</t>
        </is>
      </c>
      <c r="E63" s="76" t="inlineStr">
        <is>
          <t>Deck — Returns</t>
        </is>
      </c>
    </row>
    <row r="64" ht="15" customHeight="1" s="74">
      <c r="B64" s="79" t="inlineStr">
        <is>
          <t>IRR — exit Year 7</t>
        </is>
      </c>
      <c r="C64" s="92">
        <f>'Returns &amp; Valuation'!C22</f>
        <v/>
      </c>
      <c r="D64" s="105" t="inlineStr">
        <is>
          <t>%</t>
        </is>
      </c>
      <c r="E64" s="76" t="inlineStr">
        <is>
          <t>Deck — Returns</t>
        </is>
      </c>
    </row>
    <row r="65" ht="15" customHeight="1" s="74">
      <c r="B65" s="79" t="inlineStr">
        <is>
          <t>MOIC — exit Year 10</t>
        </is>
      </c>
      <c r="C65" s="100">
        <f>'Returns &amp; Valuation'!C27</f>
        <v/>
      </c>
      <c r="D65" s="105" t="inlineStr">
        <is>
          <t>x</t>
        </is>
      </c>
      <c r="E65" s="76" t="inlineStr">
        <is>
          <t>Memo</t>
        </is>
      </c>
    </row>
    <row r="66" ht="15" customHeight="1" s="74">
      <c r="B66" s="79" t="inlineStr">
        <is>
          <t>IRR — exit Year 10</t>
        </is>
      </c>
      <c r="C66" s="92">
        <f>'Returns &amp; Valuation'!C26</f>
        <v/>
      </c>
      <c r="D66" s="105" t="inlineStr">
        <is>
          <t>%</t>
        </is>
      </c>
      <c r="E66" s="76" t="inlineStr">
        <is>
          <t>Memo</t>
        </is>
      </c>
    </row>
    <row r="67" ht="15" customHeight="1" s="74">
      <c r="B67" s="79" t="inlineStr">
        <is>
          <t>Enterprise value at Year-7 exit</t>
        </is>
      </c>
      <c r="C67" s="110">
        <f>'Returns &amp; Valuation'!K11</f>
        <v/>
      </c>
      <c r="D67" s="105" t="inlineStr">
        <is>
          <t>USD M</t>
        </is>
      </c>
      <c r="E67" s="76" t="inlineStr">
        <is>
          <t>Deck — Returns</t>
        </is>
      </c>
    </row>
    <row r="68" ht="15" customHeight="1" s="74">
      <c r="B68" s="79" t="inlineStr">
        <is>
          <t>DFV bridge — low multiple</t>
        </is>
      </c>
      <c r="C68" s="100">
        <f>Inputs!$C$45</f>
        <v/>
      </c>
      <c r="D68" s="105" t="inlineStr">
        <is>
          <t>x</t>
        </is>
      </c>
      <c r="E68" s="76" t="inlineStr">
        <is>
          <t>Deck — Bridge</t>
        </is>
      </c>
    </row>
    <row r="69" ht="15" customHeight="1" s="74">
      <c r="B69" s="79" t="inlineStr">
        <is>
          <t>DFV bridge — high multiple</t>
        </is>
      </c>
      <c r="C69" s="100">
        <f>Inputs!$C$46</f>
        <v/>
      </c>
      <c r="D69" s="105" t="inlineStr">
        <is>
          <t>x</t>
        </is>
      </c>
      <c r="E69" s="76" t="inlineStr">
        <is>
          <t>Deck — Bridge</t>
        </is>
      </c>
    </row>
    <row r="70" ht="15" customHeight="1" s="74">
      <c r="B70" s="79" t="inlineStr">
        <is>
          <t>Future firm value — low</t>
        </is>
      </c>
      <c r="C70" s="110">
        <f>'Returns &amp; Valuation'!C40</f>
        <v/>
      </c>
      <c r="D70" s="105" t="inlineStr">
        <is>
          <t>USD M</t>
        </is>
      </c>
      <c r="E70" s="76" t="inlineStr">
        <is>
          <t>Deck — Bridge</t>
        </is>
      </c>
    </row>
    <row r="71" ht="15" customHeight="1" s="74">
      <c r="B71" s="79" t="inlineStr">
        <is>
          <t>Future firm value — high</t>
        </is>
      </c>
      <c r="C71" s="110">
        <f>'Returns &amp; Valuation'!C41</f>
        <v/>
      </c>
      <c r="D71" s="105" t="inlineStr">
        <is>
          <t>USD M</t>
        </is>
      </c>
      <c r="E71" s="76" t="inlineStr">
        <is>
          <t>Deck — Bridge</t>
        </is>
      </c>
    </row>
    <row r="72" ht="15" customHeight="1" s="74">
      <c r="B72" s="79" t="inlineStr">
        <is>
          <t>Discount rate</t>
        </is>
      </c>
      <c r="C72" s="92">
        <f>Inputs!$C$44</f>
        <v/>
      </c>
      <c r="D72" s="105" t="inlineStr">
        <is>
          <t>%</t>
        </is>
      </c>
      <c r="E72" s="76" t="inlineStr">
        <is>
          <t>Deck — Bridge</t>
        </is>
      </c>
    </row>
    <row r="73" ht="15" customHeight="1" s="74">
      <c r="B73" s="79" t="inlineStr">
        <is>
          <t>Discounted firm value — midpoint</t>
        </is>
      </c>
      <c r="C73" s="110">
        <f>'Returns &amp; Valuation'!C46</f>
        <v/>
      </c>
      <c r="D73" s="105" t="inlineStr">
        <is>
          <t>USD M</t>
        </is>
      </c>
      <c r="E73" s="76" t="inlineStr">
        <is>
          <t>Deck — Bridge</t>
        </is>
      </c>
    </row>
    <row r="74" ht="15" customHeight="1" s="74">
      <c r="B74" s="79" t="inlineStr">
        <is>
          <t>Discounted value net of capital deployed</t>
        </is>
      </c>
      <c r="C74" s="110">
        <f>'Returns &amp; Valuation'!C48</f>
        <v/>
      </c>
      <c r="D74" s="105" t="inlineStr">
        <is>
          <t>USD M</t>
        </is>
      </c>
      <c r="E74" s="76" t="inlineStr">
        <is>
          <t>Deck — Bridge</t>
        </is>
      </c>
    </row>
    <row r="75" ht="15" customHeight="1" s="74">
      <c r="B75" s="79" t="inlineStr">
        <is>
          <t>Sensitivity: 20% / 5 periods (mismatched)</t>
        </is>
      </c>
      <c r="C75" s="110">
        <f>'Returns &amp; Valuation'!D52</f>
        <v/>
      </c>
      <c r="D75" s="105" t="inlineStr">
        <is>
          <t>USD M</t>
        </is>
      </c>
      <c r="E75" s="76" t="inlineStr">
        <is>
          <t>Deck — Bridge</t>
        </is>
      </c>
    </row>
    <row r="76" ht="15" customHeight="1" s="74">
      <c r="B76" s="79" t="inlineStr">
        <is>
          <t>Sensitivity: 30% / 10 periods</t>
        </is>
      </c>
      <c r="C76" s="110">
        <f>'Returns &amp; Valuation'!F54</f>
        <v/>
      </c>
      <c r="D76" s="105" t="inlineStr">
        <is>
          <t>USD M</t>
        </is>
      </c>
      <c r="E76" s="76" t="inlineStr">
        <is>
          <t>Deck — Bridge</t>
        </is>
      </c>
    </row>
    <row r="77" ht="15" customHeight="1" s="74">
      <c r="B77" s="79" t="inlineStr">
        <is>
          <t>FY2025 combined revenue (USD M, actual)</t>
        </is>
      </c>
      <c r="C77" s="110">
        <f>Baseline!F20</f>
        <v/>
      </c>
      <c r="D77" s="105" t="inlineStr">
        <is>
          <t>USD M</t>
        </is>
      </c>
      <c r="E77" s="76" t="inlineStr">
        <is>
          <t>Memo §2</t>
        </is>
      </c>
    </row>
    <row r="78" ht="15" customHeight="1" s="74">
      <c r="B78" s="79" t="inlineStr">
        <is>
          <t>FY2025 combined EBITDA (USD M, actual)</t>
        </is>
      </c>
      <c r="C78" s="110">
        <f>Baseline!F21</f>
        <v/>
      </c>
      <c r="D78" s="105" t="inlineStr">
        <is>
          <t>USD M</t>
        </is>
      </c>
      <c r="E78" s="76" t="inlineStr">
        <is>
          <t>Memo §2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CFCDC4"/>
    <outlinePr summaryBelow="1" summaryRight="1"/>
    <pageSetUpPr fitToPage="0"/>
  </sheetPr>
  <dimension ref="B2:E7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58" customWidth="1" style="73" min="2" max="2"/>
    <col width="22" customWidth="1" style="73" min="3" max="3"/>
    <col width="70" customWidth="1" style="73" min="4" max="4"/>
    <col width="12" customWidth="1" style="73" min="5" max="5"/>
    <col width="11" customWidth="1" style="73" min="6" max="14"/>
  </cols>
  <sheetData>
    <row r="2" ht="17.25" customHeight="1" s="74">
      <c r="B2" s="75" t="inlineStr">
        <is>
          <t>Sources</t>
        </is>
      </c>
    </row>
    <row r="3" ht="15" customHeight="1" s="74">
      <c r="B3" s="76" t="inlineStr">
        <is>
          <t>Every sourced figure in the model, deck and memo. Company-provided items are marked as such.</t>
        </is>
      </c>
    </row>
    <row r="6" ht="15" customHeight="1" s="74">
      <c r="B6" s="85" t="inlineStr">
        <is>
          <t>Figure</t>
        </is>
      </c>
      <c r="C6" s="85" t="inlineStr">
        <is>
          <t>Status</t>
        </is>
      </c>
      <c r="D6" s="85" t="inlineStr">
        <is>
          <t>Source / URL</t>
        </is>
      </c>
      <c r="E6" s="85" t="inlineStr">
        <is>
          <t>Date</t>
        </is>
      </c>
    </row>
    <row r="7" ht="45" customHeight="1" s="74">
      <c r="B7" s="78" t="inlineStr">
        <is>
          <t>M1 · World military expenditure 2025 = US$2,887bn, all-time record, 11th consecutive rise</t>
        </is>
      </c>
      <c r="C7" s="78" t="inlineStr">
        <is>
          <t>VERIFIED</t>
        </is>
      </c>
      <c r="D7" s="140" t="inlineStr">
        <is>
          <t>SIPRI, Trends in World Military Expenditure 2025 — https://www.sipri.org/sites/default/files/2026-04/2604_milex_2025.pdf</t>
        </is>
      </c>
      <c r="E7" s="79" t="inlineStr">
        <is>
          <t>Apr 2026</t>
        </is>
      </c>
    </row>
    <row r="8" ht="45" customHeight="1" s="74">
      <c r="B8" s="78" t="inlineStr">
        <is>
          <t>M2 · European military spending doubled 2016–25 (+102%); Europe $864bn in 2025</t>
        </is>
      </c>
      <c r="C8" s="78" t="inlineStr">
        <is>
          <t>VERIFIED</t>
        </is>
      </c>
      <c r="D8" s="140" t="inlineStr">
        <is>
          <t>SIPRI, Trends in World Military Expenditure 2025 — https://www.sipri.org/sites/default/files/2026-04/2604_milex_2025.pdf</t>
        </is>
      </c>
      <c r="E8" s="79" t="inlineStr">
        <is>
          <t>Apr 2026</t>
        </is>
      </c>
    </row>
    <row r="9" ht="45" customHeight="1" s="74">
      <c r="B9" s="78" t="inlineStr">
        <is>
          <t>M3 · 65 state-based armed conflicts in 2025 — most since records began in 1946; 8 interstate</t>
        </is>
      </c>
      <c r="C9" s="78" t="inlineStr">
        <is>
          <t>VERIFIED</t>
        </is>
      </c>
      <c r="D9" s="140" t="inlineStr">
        <is>
          <t>Uppsala University / UCDP press release — https://www.uu.se/en/press/press-releases/2026/2026-06-09-ucdp-record-number-of-conflicts-between-states</t>
        </is>
      </c>
      <c r="E9" s="79" t="inlineStr">
        <is>
          <t>9 Jun 2026</t>
        </is>
      </c>
    </row>
    <row r="10" ht="45" customHeight="1" s="74">
      <c r="B10" s="78" t="inlineStr">
        <is>
          <t>M4 · Global mine action funding US$1.07bn in 2024 (international $761M, national $306.3M); US freeze in 2025 cut programmes</t>
        </is>
      </c>
      <c r="C10" s="78" t="inlineStr">
        <is>
          <t>VERIFIED</t>
        </is>
      </c>
      <c r="D10" s="140" t="inlineStr">
        <is>
          <t>Landmine Monitor 2025 — https://the-monitor.org/api/assets/reports/Landmine-Monitors/LMM2025/Downloads/LM2025-Major-Findings_EN.pdf</t>
        </is>
      </c>
      <c r="E10" s="79" t="inlineStr">
        <is>
          <t>Nov 2025</t>
        </is>
      </c>
    </row>
    <row r="11" ht="45" customHeight="1" s="74">
      <c r="B11" s="78" t="inlineStr">
        <is>
          <t>M5 · Ukraine explosive-hazard management need US$27.6bn (2026–2035); ~133,000 km² contaminated</t>
        </is>
      </c>
      <c r="C11" s="78" t="inlineStr">
        <is>
          <t>VERIFIED (SUPERSEDES RDNA4)</t>
        </is>
      </c>
      <c r="D11" s="140" t="inlineStr">
        <is>
          <t>World Bank / Govt of Ukraine, RDNA5 — https://www.worldbank.org/en/news/press-release/2026/02/23/updated-ukraine-recovery-and-reconstruction-needs-assessment-released</t>
        </is>
      </c>
      <c r="E11" s="79" t="inlineStr">
        <is>
          <t>23 Feb 2026</t>
        </is>
      </c>
    </row>
    <row r="12" ht="45" customHeight="1" s="74">
      <c r="B12" s="78" t="inlineStr">
        <is>
          <t>M6 · Global EOD equipment &amp; services market ~US$8.5–8.8bn (2025–26), ~3% CAGR; equipment-only estimates ~$5.5–5.7bn</t>
        </is>
      </c>
      <c r="C12" s="78" t="inlineStr">
        <is>
          <t>PARTIALLY VERIFIED</t>
        </is>
      </c>
      <c r="D12" s="140" t="inlineStr">
        <is>
          <t>Global Growth Insights, EOD market report — https://www.globalgrowthinsights.com/market-reports/explosive-ordnance-disposal-eod-market-109006</t>
        </is>
      </c>
      <c r="E12" s="79" t="inlineStr">
        <is>
          <t>2026</t>
        </is>
      </c>
    </row>
    <row r="13" ht="45" customHeight="1" s="74">
      <c r="B13" s="78" t="inlineStr">
        <is>
          <t>M7 · US conventional weapons destruction assistance &gt;US$5.09bn to 125+ countries since 1993</t>
        </is>
      </c>
      <c r="C13" s="78" t="inlineStr">
        <is>
          <t>VERIFIED (SUPERSEDES '$4bn')</t>
        </is>
      </c>
      <c r="D13" s="140" t="inlineStr">
        <is>
          <t>US Dept of State / JMU CISR mirror — https://www.jmu.edu/cisr/research/tweis/fy23/index.shtml</t>
        </is>
      </c>
      <c r="E13" s="79" t="inlineStr">
        <is>
          <t>Apr 2024</t>
        </is>
      </c>
    </row>
    <row r="14" ht="45" customHeight="1" s="74">
      <c r="B14" s="78" t="inlineStr">
        <is>
          <t>M8 · Rheinmetall 155mm capacity target 'at least 1.1 million' (company release) to 'up to 1.5 million' rounds/yr by 2027 (company statements reported by press)</t>
        </is>
      </c>
      <c r="C14" s="78" t="inlineStr">
        <is>
          <t>PARTIALLY VERIFIED</t>
        </is>
      </c>
      <c r="D14" s="140" t="inlineStr">
        <is>
          <t>Rheinmetall AG press release — https://www.rheinmetall.com/en/media/news-watch/news/2025/06/2025-06-03-rheinmetall-receives-major-international-orders-for-155mm-artillery-ammunition</t>
        </is>
      </c>
      <c r="E14" s="79" t="inlineStr">
        <is>
          <t>Jun 2025</t>
        </is>
      </c>
    </row>
    <row r="15" ht="45" customHeight="1" s="74">
      <c r="B15" s="78" t="inlineStr">
        <is>
          <t>M9 · US Army 155mm target 100,000 rounds/month (Oct 2025 goal); ~36,000/month actual per DoD IG (Jul 2026)</t>
        </is>
      </c>
      <c r="C15" s="78" t="inlineStr">
        <is>
          <t>VERIFIED</t>
        </is>
      </c>
      <c r="D15" s="140" t="inlineStr">
        <is>
          <t>Stars and Stripes — https://www.stripes.com/branches/army/2026-07-14/army-artillery-shell-shortfall-22262070.html</t>
        </is>
      </c>
      <c r="E15" s="79" t="inlineStr">
        <is>
          <t>14 Jul 2026</t>
        </is>
      </c>
    </row>
    <row r="16" ht="45" customHeight="1" s="74">
      <c r="B16" s="78" t="inlineStr">
        <is>
          <t>M10 · NATO: up to $145bn in shared munitions and air-defence requirements identified; Allied production up ~sixfold</t>
        </is>
      </c>
      <c r="C16" s="78" t="inlineStr">
        <is>
          <t>VERIFIED</t>
        </is>
      </c>
      <c r="D16" s="140" t="inlineStr">
        <is>
          <t>Breaking Defense — https://breakingdefense.com/2026/03/nato-sees-145b-in-munitions-needs-as-members-all-hit-2-percent-gdp-for-first-time/</t>
        </is>
      </c>
      <c r="E16" s="79" t="inlineStr">
        <is>
          <t>26 Mar 2026</t>
        </is>
      </c>
    </row>
    <row r="17" ht="45" customHeight="1" s="74">
      <c r="B17" s="78" t="inlineStr">
        <is>
          <t>D1 · US demil stockpile 296,534 tons as of 4 Dec 2025 (246,681 conventional + 49,853 missile components) — B5A account</t>
        </is>
      </c>
      <c r="C17" s="78" t="inlineStr">
        <is>
          <t>VERIFIED</t>
        </is>
      </c>
      <c r="D17" s="140" t="inlineStr">
        <is>
          <t>US Army FY2027 Budget Estimates, Procurement of Ammunition — https://www.asafm.army.mil/Portals/72/Documents/BudgetMaterial/2027/Discretionary%20Budget/Procurement/Procurement_of_Ammunition.pdf</t>
        </is>
      </c>
      <c r="E17" s="79" t="inlineStr">
        <is>
          <t>Apr 2026</t>
        </is>
      </c>
    </row>
    <row r="18" ht="45" customHeight="1" s="74">
      <c r="B18" s="78" t="inlineStr">
        <is>
          <t>D2 · Army conventional munitions demilitarization line: $155.050M FY2026, $161.179M FY2027; FY2027 funded plan 31,475 tons</t>
        </is>
      </c>
      <c r="C18" s="78" t="inlineStr">
        <is>
          <t>VERIFIED</t>
        </is>
      </c>
      <c r="D18" s="140" t="inlineStr">
        <is>
          <t>US Army FY2027 Procurement of Ammunition — https://www.asafm.army.mil/Portals/72/Documents/BudgetMaterial/2027/Discretionary%20Budget/Procurement/Procurement_of_Ammunition.pdf</t>
        </is>
      </c>
      <c r="E18" s="79" t="inlineStr">
        <is>
          <t>Apr 2026</t>
        </is>
      </c>
    </row>
    <row r="19" ht="45" customHeight="1" s="74">
      <c r="B19" s="78" t="inlineStr">
        <is>
          <t>D3 · Stockpile has fallen 37% since end-FY2016 (471,767 → 296,534 t) while missile components rose from 6.5% to 16.8% of the account; Army forecasts generations to increase FY27–31 (PD Demil Oct 2025 forecast: 361,220 short tons by FY30)</t>
        </is>
      </c>
      <c r="C19" s="78" t="inlineStr">
        <is>
          <t>VERIFIED</t>
        </is>
      </c>
      <c r="D19" s="140" t="inlineStr">
        <is>
          <t>Hrycak, 'Demil Enterprise Strategic Plan', NDIA — https://www.ndia.org/-/media/sites/ndia/meetings-and-events/proceedings/2025/FFC/October%201/Hrycak_Orest_2025%20FFC_1%20October%202025.pdf</t>
        </is>
      </c>
      <c r="E19" s="79" t="inlineStr">
        <is>
          <t>1 Oct 2025</t>
        </is>
      </c>
    </row>
    <row r="20" ht="45" customHeight="1" s="74">
      <c r="B20" s="78" t="inlineStr">
        <is>
          <t>D4 · PM Demil plans a ~$30M/yr competitive Conventional Ammunition Demil IDIQ for 2026–2030 (anticipated award Aug 2026 — award not yet evidenced)</t>
        </is>
      </c>
      <c r="C20" s="78" t="inlineStr">
        <is>
          <t>PARTIALLY VERIFIED</t>
        </is>
      </c>
      <c r="D20" s="140" t="inlineStr">
        <is>
          <t>Hrycak, NDIA Global Demil Symposium — https://www.ndia.org/-/media/sites/ndia/meetings-and-events/proceedings/2025/FFC/October%201/Hrycak_Orest_2025%20FFC_1%20October%202025.pdf</t>
        </is>
      </c>
      <c r="E20" s="79" t="inlineStr">
        <is>
          <t>1 Oct 2025</t>
        </is>
      </c>
    </row>
    <row r="21" ht="45" customHeight="1" s="74">
      <c r="B21" s="78" t="inlineStr">
        <is>
          <t>D5 · Prior $110.1M multiple-award demil contract (2021): GD-OTS, EnviroSafe Demil, Expal USA; ordering period ended 20 May 2026</t>
        </is>
      </c>
      <c r="C21" s="78" t="inlineStr">
        <is>
          <t>VERIFIED</t>
        </is>
      </c>
      <c r="D21" s="140" t="inlineStr">
        <is>
          <t>GovCon Wire / Aerotech News — https://govconwire.com/2021/05/army-taps-three-companies-for-110m-ammunition-disposal-contract</t>
        </is>
      </c>
      <c r="E21" s="79" t="inlineStr">
        <is>
          <t>21 May 2021</t>
        </is>
      </c>
    </row>
    <row r="22" ht="45" customHeight="1" s="74">
      <c r="B22" s="78" t="inlineStr">
        <is>
          <t>D6 · Hawthorne Army Depot: $2,301,227,487 firm-fixed-price contract to Day &amp; Zimmermann (9 Jun 2026) for operation, maintenance and modernization incl. demil of specified ammunition families and 14 additional work statements, to Dec 2046</t>
        </is>
      </c>
      <c r="C22" s="78" t="inlineStr">
        <is>
          <t>VERIFIED</t>
        </is>
      </c>
      <c r="D22" s="140" t="inlineStr">
        <is>
          <t>DoD contracts (GlobalSecurity mirror) — https://www.globalsecurity.org/military/library/news/2026/06/dod-contracts_4512718.htm</t>
        </is>
      </c>
      <c r="E22" s="79" t="inlineStr">
        <is>
          <t>9 Jun 2026</t>
        </is>
      </c>
    </row>
    <row r="23" ht="45" customHeight="1" s="74">
      <c r="B23" s="78" t="inlineStr">
        <is>
          <t>D7 · 'Army has explicitly reserved demil capacity for new entrants / small-business set-asides'</t>
        </is>
      </c>
      <c r="C23" s="78" t="inlineStr">
        <is>
          <t>REMOVED</t>
        </is>
      </c>
      <c r="D23" s="140" t="inlineStr">
        <is>
          <t>HigherGov W52P1J-19-R-0017 — https://www.highergov.com/contract-opportunity/conventional-ammunition-demilitarization-w52p1j-19-r-0017-o-e5416/</t>
        </is>
      </c>
      <c r="E23" s="79" t="inlineStr">
        <is>
          <t>—</t>
        </is>
      </c>
    </row>
    <row r="24" ht="45" customHeight="1" s="74">
      <c r="B24" s="78" t="inlineStr">
        <is>
          <t>D8 · Conventional demil average cost $2,890/ton (2017 DoD report, cited by NAS 2019); Army estimates OB/OD at ~$750/ton and contained burn/detonation at $2,000–20,000/ton</t>
        </is>
      </c>
      <c r="C24" s="78" t="inlineStr">
        <is>
          <t>VERIFIED</t>
        </is>
      </c>
      <c r="D24" s="140" t="inlineStr">
        <is>
          <t>National Academies Press — https://www.nationalacademies.org/read/25140/chapter/4</t>
        </is>
      </c>
      <c r="E24" s="79" t="inlineStr">
        <is>
          <t>2019</t>
        </is>
      </c>
    </row>
    <row r="25" ht="45" customHeight="1" s="74">
      <c r="B25" s="78" t="inlineStr">
        <is>
          <t>D9 · Over 7,000 DODICs in the demil account</t>
        </is>
      </c>
      <c r="C25" s="78" t="inlineStr">
        <is>
          <t>VERIFIED</t>
        </is>
      </c>
      <c r="D25" s="140" t="inlineStr">
        <is>
          <t>Hrycak, NDIA — https://www.ndia.org/-/media/sites/ndia/meetings-and-events/proceedings/2025/FFC/October%201/Hrycak_Orest_2025%20FFC_1%20October%202025.pdf</t>
        </is>
      </c>
      <c r="E25" s="79" t="inlineStr">
        <is>
          <t>Oct 2025</t>
        </is>
      </c>
    </row>
    <row r="26" ht="45" customHeight="1" s="74">
      <c r="B26" s="78" t="inlineStr">
        <is>
          <t>R1 · EPA proposed rule on open burning/open detonation of waste explosives, 89 FR 19952 (20 Mar 2024), affects 67 facilities with operating OB/OD units; final rule projected Oct 2026 (Unified Agenda) — NOT yet final</t>
        </is>
      </c>
      <c r="C26" s="78" t="inlineStr">
        <is>
          <t>VERIFIED</t>
        </is>
      </c>
      <c r="D26" s="140" t="inlineStr">
        <is>
          <t>Federal Register — https://www.federalregister.gov/documents/2024/03/20/2024-05088/revisions-to-standards-for-the-open-burningopen-detonation-of-waste-explosives</t>
        </is>
      </c>
      <c r="E26" s="79" t="inlineStr">
        <is>
          <t>20 Mar 2024</t>
        </is>
      </c>
    </row>
    <row r="27" ht="45" customHeight="1" s="74">
      <c r="B27" s="78" t="inlineStr">
        <is>
          <t>R2 · 40 CFR 260.10 defines open burning as combustion without control of combustion air, containment in an enclosed device, and control of emissions — a closed chamber is categorically not open burning</t>
        </is>
      </c>
      <c r="C27" s="78" t="inlineStr">
        <is>
          <t>VERIFIED</t>
        </is>
      </c>
      <c r="D27" s="140" t="inlineStr">
        <is>
          <t>eCFR — https://www.ecfr.gov/current/title-40/chapter-I/subchapter-I/part-260/subpart-B/section-260.10</t>
        </is>
      </c>
      <c r="E27" s="79" t="inlineStr">
        <is>
          <t>current</t>
        </is>
      </c>
    </row>
    <row r="28" ht="45" customHeight="1" s="74">
      <c r="B28" s="78" t="inlineStr">
        <is>
          <t>R3 · Canada is a DFARS 225.872 qualifying country — Buy American restrictions not applied to qualifying-country end products</t>
        </is>
      </c>
      <c r="C28" s="78" t="inlineStr">
        <is>
          <t>VERIFIED</t>
        </is>
      </c>
      <c r="D28" s="140" t="inlineStr">
        <is>
          <t>acquisition.gov — https://www.acquisition.gov/dfars/225.872-1-general.</t>
        </is>
      </c>
      <c r="E28" s="79" t="inlineStr">
        <is>
          <t>current</t>
        </is>
      </c>
    </row>
    <row r="29" ht="45" customHeight="1" s="74">
      <c r="B29" s="78" t="inlineStr">
        <is>
          <t>R4 · Final 2025 US Critical Minerals List, 90 FR 50494 (7 Nov 2025): copper and lead newly added; antimony retained from the 2022 list</t>
        </is>
      </c>
      <c r="C29" s="78" t="inlineStr">
        <is>
          <t>VERIFIED (corrected)</t>
        </is>
      </c>
      <c r="D29" s="140" t="inlineStr">
        <is>
          <t>Federal Register / USGS — https://www.federalregister.gov/documents/2025/11/07/2025-19813/final-2025-list-of-critical-minerals</t>
        </is>
      </c>
      <c r="E29" s="79" t="inlineStr">
        <is>
          <t>7 Nov 2025</t>
        </is>
      </c>
    </row>
    <row r="30" ht="45" customHeight="1" s="74">
      <c r="B30" s="78" t="inlineStr">
        <is>
          <t>R5 · GAO-26-108687 (22 Jul 2026), Critical Minerals: Reducing U.S. Import Reliance with Substitution and Recycling Technologies — recycling feedstock 'often landfilled or exported'; domestic recycling infrastructure a policy option</t>
        </is>
      </c>
      <c r="C30" s="78" t="inlineStr">
        <is>
          <t>VERIFIED</t>
        </is>
      </c>
      <c r="D30" s="140" t="inlineStr">
        <is>
          <t>GAO — https://www.gao.gov/products/gao-26-108687</t>
        </is>
      </c>
      <c r="E30" s="79" t="inlineStr">
        <is>
          <t>22 Jul 2026</t>
        </is>
      </c>
    </row>
    <row r="31" ht="45" customHeight="1" s="74">
      <c r="B31" s="78" t="inlineStr">
        <is>
          <t>R6 · 10 USC 7690: Army may sell recyclable munitions materials from demil and retain proceeds in a dedicated account; 10 USC 7687: sale of excess ammunition to licensed manufacturers</t>
        </is>
      </c>
      <c r="C31" s="78" t="inlineStr">
        <is>
          <t>VERIFIED</t>
        </is>
      </c>
      <c r="D31" s="140" t="inlineStr">
        <is>
          <t>US Code (OLRC) — https://uscode.house.gov/view.xhtml?req=granuleid:USC-prelim-title10-section7690&amp;num=0&amp;edition=prelim</t>
        </is>
      </c>
      <c r="E31" s="79" t="inlineStr">
        <is>
          <t>current</t>
        </is>
      </c>
    </row>
    <row r="32" ht="45" customHeight="1" s="74">
      <c r="B32" s="78" t="inlineStr">
        <is>
          <t>R7 · Antimony: USGS average price $5.49/lb (2023) → $10.24/lb (2024) → ~$25/lb (2025), peak ~$27.50/lb (~$60,000/t) mid-2025 after China's Aug 2024 restrictions and Dec 2024 US export ban; EXIM approved a $2.9bn loan for the Stibnite antimony/gold project (May 2026)</t>
        </is>
      </c>
      <c r="C32" s="78" t="inlineStr">
        <is>
          <t>VERIFIED (corrected)</t>
        </is>
      </c>
      <c r="D32" s="140" t="inlineStr">
        <is>
          <t>USGS MCS 2026 — Antimony — https://pubs.usgs.gov/periodicals/mcs2026/mcs2026-antimony.pdf</t>
        </is>
      </c>
      <c r="E32" s="79" t="inlineStr">
        <is>
          <t>Jan 2026</t>
        </is>
      </c>
    </row>
    <row r="33" ht="45" customHeight="1" s="74">
      <c r="B33" s="78" t="inlineStr">
        <is>
          <t>R8 · Ontario Environmental Compliance Approval (MECP) and TSSA field approval/inspection are the correct terms</t>
        </is>
      </c>
      <c r="C33" s="78" t="inlineStr">
        <is>
          <t>VERIFIED</t>
        </is>
      </c>
      <c r="D33" s="140" t="inlineStr">
        <is>
          <t>Ontario.ca — https://www.ontario.ca/page/environmental-compliance-approval</t>
        </is>
      </c>
      <c r="E33" s="79" t="inlineStr">
        <is>
          <t>current</t>
        </is>
      </c>
    </row>
    <row r="34" ht="45" customHeight="1" s="74">
      <c r="B34" s="78" t="inlineStr">
        <is>
          <t>R9 · Los Angeles County Sheriff's Department, 18 Jul 2025: three Arson-Explosives detectives killed at Biscailuz Center while handling seized ordnance</t>
        </is>
      </c>
      <c r="C34" s="78" t="inlineStr">
        <is>
          <t>VERIFIED</t>
        </is>
      </c>
      <c r="D34" s="140" t="inlineStr">
        <is>
          <t>CBS News Los Angeles — https://www.cbsnews.com/losangeles/news/explosion-los-angeles-county-sheriffs-department-training-facility/</t>
        </is>
      </c>
      <c r="E34" s="79" t="inlineStr">
        <is>
          <t>18 Jul 2025</t>
        </is>
      </c>
    </row>
    <row r="35" ht="45" customHeight="1" s="74">
      <c r="B35" s="78" t="inlineStr">
        <is>
          <t>C1 · eMACS/MACS developed in a joint venture with the RCMP; in use since 2001</t>
        </is>
      </c>
      <c r="C35" s="78" t="inlineStr">
        <is>
          <t>VERIFIED</t>
        </is>
      </c>
      <c r="D35" s="140" t="inlineStr">
        <is>
          <t>Officer.com — https://www.officer.com/tactical/firearm-accessories/product/10446308/twb-designs-inc-emacs-ammo-burner</t>
        </is>
      </c>
      <c r="E35" s="79" t="inlineStr">
        <is>
          <t>2011</t>
        </is>
      </c>
    </row>
    <row r="36" ht="45" customHeight="1" s="74">
      <c r="B36" s="78" t="inlineStr">
        <is>
          <t>C2 · Patents: CA 2,402,939 (granted 2008) and US 6,758,151 (granted 2004, from application 10/242,764), 'Remotely activated armored incinerator with gas emission control' — inventors Braithwaite &amp; Ivany; assignee the Crown/RCMP; both now expired (US lapsed 2016; CA term ended 2022)</t>
        </is>
      </c>
      <c r="C36" s="78" t="inlineStr">
        <is>
          <t>VERIFIED (corrected)</t>
        </is>
      </c>
      <c r="D36" s="140" t="inlineStr">
        <is>
          <t>Google Patents — https://patents.google.com/patent/US6758151B2/en</t>
        </is>
      </c>
      <c r="E36" s="79" t="inlineStr">
        <is>
          <t>2004/2008</t>
        </is>
      </c>
    </row>
    <row r="37" ht="45" customHeight="1" s="74">
      <c r="B37" s="78" t="inlineStr">
        <is>
          <t>C3 · 97% of recyclable material recovered per cycle; tested to .50 calibre; ~850°F primary / ~1,750°F afterburner; 'meets or exceeds California EPA, NATO and EU emissions standards'</t>
        </is>
      </c>
      <c r="C37" s="78" t="inlineStr">
        <is>
          <t>COMPANY-PROVIDED (published on twbdesigns.com)</t>
        </is>
      </c>
      <c r="D37" s="140" t="inlineStr">
        <is>
          <t>TWB Designs — https://twbdesigns.com/Environmental-Mobile-Ammunition-Combustion/eMACS-Environmental-Mobile-Ammunition-Combustion-System.php</t>
        </is>
      </c>
      <c r="E37" s="79" t="inlineStr">
        <is>
          <t>2026</t>
        </is>
      </c>
    </row>
    <row r="38" ht="45" customHeight="1" s="74">
      <c r="B38" s="78" t="inlineStr">
        <is>
          <t>C4 · Throughput: up to ~100 lb (45.4 kg) per one-hour cycle; ~1,000 lb/day per unit (company); twbdesigns.com eMACS page states 60 lb/hr</t>
        </is>
      </c>
      <c r="C38" s="78" t="inlineStr">
        <is>
          <t>COMPANY-PROVIDED (inconsistent public figures)</t>
        </is>
      </c>
      <c r="D38" s="140" t="inlineStr">
        <is>
          <t>TWB Designs MACS page — https://twbdesigns.com/Environmental-Mobile-Ammunition-Combustion/MACS-Mobile-Ammunition-Combustion-System-Canadian-Version.php</t>
        </is>
      </c>
      <c r="E38" s="79" t="inlineStr">
        <is>
          <t>2026</t>
        </is>
      </c>
    </row>
    <row r="39" ht="45" customHeight="1" s="74">
      <c r="B39" s="78" t="inlineStr">
        <is>
          <t>C5 · ~1,000 lb/day of small-arms ammunition yields ~$1,000/day of reclaimed clean metal (2013, indicative)</t>
        </is>
      </c>
      <c r="C39" s="78" t="inlineStr">
        <is>
          <t>COMPANY-PROVIDED</t>
        </is>
      </c>
      <c r="D39" s="140" t="inlineStr">
        <is>
          <t>PRWeb — https://www.prweb.com/releases/environmentally_smart_ammunition_disposal_heads_to_northern_europe/prweb11392397.htm</t>
        </is>
      </c>
      <c r="E39" s="79" t="inlineStr">
        <is>
          <t>6 Dec 2013</t>
        </is>
      </c>
    </row>
    <row r="40" ht="45" customHeight="1" s="74">
      <c r="B40" s="78" t="inlineStr">
        <is>
          <t>C6 · Innovation-award recognition: eMACS was a finalist in the 2011 Law Enforcement Technology / Cygnus Innovation Awards presented at the IACP conference (Chicago)</t>
        </is>
      </c>
      <c r="C40" s="78" t="inlineStr">
        <is>
          <t>VERIFIED (corrected)</t>
        </is>
      </c>
      <c r="D40" s="140" t="inlineStr">
        <is>
          <t>Officer.com — https://www.officer.com/on-the-street/apparel/article/10440937/results-from-the-2011-innovation-awards?page=2</t>
        </is>
      </c>
      <c r="E40" s="79" t="inlineStr">
        <is>
          <t>Oct 2011</t>
        </is>
      </c>
    </row>
    <row r="41" ht="45" customHeight="1" s="74">
      <c r="B41" s="78" t="inlineStr">
        <is>
          <t>C7 · Franklin County (OH) Sheriff &amp; Hilliard Division of Police ammunition take-back events (21 Mar 2026: 1,630 lb / ~54,000 rounds)</t>
        </is>
      </c>
      <c r="C41" s="78" t="inlineStr">
        <is>
          <t>PARTIALLY VERIFIED</t>
        </is>
      </c>
      <c r="D41" s="140" t="inlineStr">
        <is>
          <t>City of Hilliard — https://hilliardohio.gov/safer-homes-spring-clean-out-ammunition-take-back-day-planned-march-21/</t>
        </is>
      </c>
      <c r="E41" s="79" t="inlineStr">
        <is>
          <t>Mar 2026</t>
        </is>
      </c>
    </row>
    <row r="42" ht="45" customHeight="1" s="74">
      <c r="B42" s="78" t="inlineStr">
        <is>
          <t>C8 · Military Equipment Denmark A/S — multi-country sales agreement (Denmark, Norway, Sweden, Finland, Latvia, Lithuania, Estonia)</t>
        </is>
      </c>
      <c r="C42" s="78" t="inlineStr">
        <is>
          <t>VERIFIED (2013 announcement)</t>
        </is>
      </c>
      <c r="D42" s="140" t="inlineStr">
        <is>
          <t>PRWeb — https://www.prweb.com/releases/environmentally_smart_ammunition_disposal_heads_to_northern_europe/prweb11392397.htm</t>
        </is>
      </c>
      <c r="E42" s="79" t="inlineStr">
        <is>
          <t>Dec 2013</t>
        </is>
      </c>
    </row>
    <row r="43" ht="45" customHeight="1" s="74">
      <c r="B43" s="78" t="inlineStr">
        <is>
          <t>C9 · Allied and partner military deployments: Australian Army, New Zealand Army, Royal Saudi Land Forces</t>
        </is>
      </c>
      <c r="C43" s="78" t="inlineStr">
        <is>
          <t>COMPANY-PROVIDED</t>
        </is>
      </c>
      <c r="D43" s="140" t="inlineStr">
        <is>
          <t>CADS (cached page) — https://cadsammunitiondisposal.com/About-Us/About-eMACS.php</t>
        </is>
      </c>
      <c r="E43" s="79" t="inlineStr">
        <is>
          <t>—</t>
        </is>
      </c>
    </row>
    <row r="44" ht="45" customHeight="1" s="74">
      <c r="B44" s="78" t="inlineStr">
        <is>
          <t>C10 · Customers include RCMP units, Sûreté du Québec, Calgary Police, Winnipeg Police, Federal Cartridge (US), Dubai Police</t>
        </is>
      </c>
      <c r="C44" s="78" t="inlineStr">
        <is>
          <t>COMPANY-PROVIDED (cached CADS page)</t>
        </is>
      </c>
      <c r="D44" s="140" t="inlineStr">
        <is>
          <t>CADS — https://cadsammunitiondisposal.com/About-Us/About-eMACS.php</t>
        </is>
      </c>
      <c r="E44" s="79" t="inlineStr">
        <is>
          <t>—</t>
        </is>
      </c>
    </row>
    <row r="45" ht="45" customHeight="1" s="74">
      <c r="B45" s="78" t="inlineStr">
        <is>
          <t>C11 · FY2023–FY2025 combined TWB Designs + CADS financials (compiled, unaudited): revenue CAD 965,730 / 1,711,261 / 862,856; EBITDA ~CAD 419K / 492K / 235K; debt-free</t>
        </is>
      </c>
      <c r="C45" s="78" t="inlineStr">
        <is>
          <t>COMPANY-PROVIDED</t>
        </is>
      </c>
      <c r="D45" s="78" t="inlineStr">
        <is>
          <t>Original supporting memo §2</t>
        </is>
      </c>
      <c r="E45" s="79" t="inlineStr">
        <is>
          <t>2026</t>
        </is>
      </c>
    </row>
    <row r="46" ht="45" customHeight="1" s="74">
      <c r="B46" s="78" t="inlineStr">
        <is>
          <t>C12 · Acquisition of TWB Designs Inc. and CADS by the current ownership group has closed (2026)</t>
        </is>
      </c>
      <c r="C46" s="78" t="inlineStr">
        <is>
          <t>COMPANY-PROVIDED</t>
        </is>
      </c>
      <c r="D46" s="78" t="inlineStr">
        <is>
          <t>—</t>
        </is>
      </c>
      <c r="E46" s="79" t="inlineStr">
        <is>
          <t>Sep 2026</t>
        </is>
      </c>
    </row>
    <row r="47" ht="45" customHeight="1" s="74">
      <c r="B47" s="78" t="inlineStr">
        <is>
          <t>C13 · US entity formed</t>
        </is>
      </c>
      <c r="C47" s="78" t="inlineStr">
        <is>
          <t>COMPANY-PROVIDED</t>
        </is>
      </c>
      <c r="D47" s="78" t="inlineStr">
        <is>
          <t>—</t>
        </is>
      </c>
      <c r="E47" s="79" t="inlineStr">
        <is>
          <t>Sep 2026</t>
        </is>
      </c>
    </row>
    <row r="48" ht="45" customHeight="1" s="74">
      <c r="B48" s="78" t="inlineStr">
        <is>
          <t>C14 · Trailer: 11,500 lb, Class V hitch; 3/8" plate-steel shell; remote start/stop</t>
        </is>
      </c>
      <c r="C48" s="78" t="inlineStr">
        <is>
          <t>COMPANY-PROVIDED</t>
        </is>
      </c>
      <c r="D48" s="78" t="inlineStr">
        <is>
          <t>—</t>
        </is>
      </c>
      <c r="E48" s="79" t="inlineStr">
        <is>
          <t>—</t>
        </is>
      </c>
    </row>
    <row r="49" ht="45" customHeight="1" s="74">
      <c r="B49" s="78" t="inlineStr">
        <is>
          <t>C15 · Energetics-dissolution front end licensed from a US university (name TBC)</t>
        </is>
      </c>
      <c r="C49" s="78" t="inlineStr">
        <is>
          <t>COMPANY-PROVIDED (in discussion)</t>
        </is>
      </c>
      <c r="D49" s="78" t="inlineStr">
        <is>
          <t>—</t>
        </is>
      </c>
      <c r="E49" s="79" t="inlineStr">
        <is>
          <t>Sep 2026</t>
        </is>
      </c>
    </row>
    <row r="50" ht="45" customHeight="1" s="74">
      <c r="B50" s="78" t="inlineStr">
        <is>
          <t>C16 · MIT partnership for metals-discrimination sensing</t>
        </is>
      </c>
      <c r="C50" s="78" t="inlineStr">
        <is>
          <t>PLACEHOLDER — TOM TO CONFIRM</t>
        </is>
      </c>
      <c r="D50" s="78" t="inlineStr">
        <is>
          <t>—</t>
        </is>
      </c>
      <c r="E50" s="79" t="inlineStr">
        <is>
          <t>Sep 2026</t>
        </is>
      </c>
    </row>
    <row r="51" ht="45" customHeight="1" s="74">
      <c r="B51" s="78" t="inlineStr">
        <is>
          <t>K1 · Dynasafe SDC 1000 'deploys in three weeks'; transportable SDC 200/500 handle small/medium calibre to 500 g TNT-eq</t>
        </is>
      </c>
      <c r="C51" s="78" t="inlineStr">
        <is>
          <t>VERIFIED</t>
        </is>
      </c>
      <c r="D51" s="140" t="inlineStr">
        <is>
          <t>Dynasafe — https://dynasafe.com/demilitarization/munitions-destruction-tech/static-detonation-chamber-demilitarization/</t>
        </is>
      </c>
      <c r="E51" s="79" t="inlineStr">
        <is>
          <t>2026</t>
        </is>
      </c>
    </row>
    <row r="52" ht="45" customHeight="1" s="74">
      <c r="B52" s="78" t="inlineStr">
        <is>
          <t>K2 · Rheinmetall Expal: fixed demil sites (Spain; Hooks, TX); &gt;3.5M munitions demilled since 2017; recycles &gt;80% of material received; awardee on 2021 Army demil contract</t>
        </is>
      </c>
      <c r="C52" s="78" t="inlineStr">
        <is>
          <t>VERIFIED</t>
        </is>
      </c>
      <c r="D52" s="140" t="inlineStr">
        <is>
          <t>Rheinmetall — https://www.rheinmetall.com/en/company/subsidiaries/american-rheinmetall-munitions</t>
        </is>
      </c>
      <c r="E52" s="79" t="inlineStr">
        <is>
          <t>2026</t>
        </is>
      </c>
    </row>
    <row r="53" ht="45" customHeight="1" s="74">
      <c r="B53" s="78" t="inlineStr">
        <is>
          <t>K3 · GD-OTS demil at Carthage, MO — controlled incineration, sawing, defuzing; DoD customer</t>
        </is>
      </c>
      <c r="C53" s="78" t="inlineStr">
        <is>
          <t>VERIFIED</t>
        </is>
      </c>
      <c r="D53" s="140" t="inlineStr">
        <is>
          <t>GD-OTS — https://www.gdots.com/wp-content/uploads/2017/11/Demil-Capabilities.pdf</t>
        </is>
      </c>
      <c r="E53" s="79" t="inlineStr">
        <is>
          <t>2017</t>
        </is>
      </c>
    </row>
    <row r="54" ht="45" customHeight="1" s="74">
      <c r="B54" s="78" t="inlineStr">
        <is>
          <t>K4 · El Dorado Engineering: transportable flashing furnace (trailer-mounted), contained burn — equipment/engineering supplier</t>
        </is>
      </c>
      <c r="C54" s="78" t="inlineStr">
        <is>
          <t>VERIFIED</t>
        </is>
      </c>
      <c r="D54" s="140" t="inlineStr">
        <is>
          <t>El Dorado Engineering — https://www.eldoradoengineering.com/thermal-disposal/transportable-flashing-furnace-tff/</t>
        </is>
      </c>
      <c r="E54" s="79" t="inlineStr">
        <is>
          <t>2026</t>
        </is>
      </c>
    </row>
    <row r="55" ht="45" customHeight="1" s="74">
      <c r="B55" s="78" t="inlineStr">
        <is>
          <t>K5 · General Atomics — demil technology vendor (cryofracture, PERSES), not a services operator</t>
        </is>
      </c>
      <c r="C55" s="78" t="inlineStr">
        <is>
          <t>VERIFIED</t>
        </is>
      </c>
      <c r="D55" s="140" t="inlineStr">
        <is>
          <t>General Atomics — https://www.ga.com/demilitarization-and-hazardous-waste-destruction</t>
        </is>
      </c>
      <c r="E55" s="79" t="inlineStr">
        <is>
          <t>2026</t>
        </is>
      </c>
    </row>
    <row r="56" ht="45" customHeight="1" s="74">
      <c r="B56" s="78" t="inlineStr">
        <is>
          <t>K6 · Day &amp; Zimmermann / SOC: &gt;16,000 tons/yr demil capacity at Hawthorne</t>
        </is>
      </c>
      <c r="C56" s="78" t="inlineStr">
        <is>
          <t>VERIFIED</t>
        </is>
      </c>
      <c r="D56" s="140" t="inlineStr">
        <is>
          <t>Day &amp; Zimmermann — https://www.dayzim.com/services-and-products/munitions/demilitarization-conventional-munitions</t>
        </is>
      </c>
      <c r="E56" s="79" t="inlineStr">
        <is>
          <t>2026</t>
        </is>
      </c>
    </row>
    <row r="57" ht="45" customHeight="1" s="74">
      <c r="B57" s="78" t="inlineStr">
        <is>
          <t>K7 · EnviroSafe Demil (Hooks, TX): 'clean alternative to open burning', materials recovery, Army demil awardee</t>
        </is>
      </c>
      <c r="C57" s="78" t="inlineStr">
        <is>
          <t>VERIFIED</t>
        </is>
      </c>
      <c r="D57" s="140" t="inlineStr">
        <is>
          <t>EnviroSafe Demil — https://envirosafedemil.com/about-esd</t>
        </is>
      </c>
      <c r="E57" s="79" t="inlineStr">
        <is>
          <t>2026</t>
        </is>
      </c>
    </row>
    <row r="58" ht="45" customHeight="1" s="74">
      <c r="B58" s="78" t="inlineStr">
        <is>
          <t>V1 · Cadre Holdings (NYSE: CDRE): TTM revenue $685.65M, EV $1.62B, EV/Revenue 2.36x, EV/EBITDA 15.25x, P/E 36.3x (31 Aug 2026); 18 acquisitions to date</t>
        </is>
      </c>
      <c r="C58" s="78" t="inlineStr">
        <is>
          <t>VERIFIED</t>
        </is>
      </c>
      <c r="D58" s="140" t="inlineStr">
        <is>
          <t>StockAnalysis — https://stockanalysis.com/stocks/cdre/statistics/</t>
        </is>
      </c>
      <c r="E58" s="79" t="inlineStr">
        <is>
          <t>31 Aug 2026</t>
        </is>
      </c>
    </row>
    <row r="59" ht="45" customHeight="1" s="74">
      <c r="B59" s="78" t="inlineStr">
        <is>
          <t>V2 · American Battery Technology (NASDAQ: ABAT): TTM revenue $16.28M, EV $317M, EV/Revenue 19.7x, net loss</t>
        </is>
      </c>
      <c r="C59" s="78" t="inlineStr">
        <is>
          <t>VERIFIED</t>
        </is>
      </c>
      <c r="D59" s="140" t="inlineStr">
        <is>
          <t>StockAnalysis — https://stockanalysis.com/stocks/abat/statistics/</t>
        </is>
      </c>
      <c r="E59" s="79" t="inlineStr">
        <is>
          <t>26 Aug 2026</t>
        </is>
      </c>
    </row>
    <row r="60" ht="45" customHeight="1" s="74">
      <c r="B60" s="78" t="inlineStr">
        <is>
          <t>V3 · A&amp;D public services EV/EBITDA ~11.2x (KPMG Government Technology Solutions, end-2025); private A&amp;D deal median 18.96x TEV/EBITDA and 4.09x TEV/Revenue (PCE Q2 2026)</t>
        </is>
      </c>
      <c r="C60" s="78" t="inlineStr">
        <is>
          <t>VERIFIED</t>
        </is>
      </c>
      <c r="D60" s="140" t="inlineStr">
        <is>
          <t>PCE Companies — https://www.pcecompanies.com/resources/industry-reports/aerospace-government-ma-update</t>
        </is>
      </c>
      <c r="E60" s="79" t="inlineStr">
        <is>
          <t>Aug 2026</t>
        </is>
      </c>
    </row>
    <row r="61" ht="45" customHeight="1" s="74">
      <c r="B61" s="78" t="inlineStr">
        <is>
          <t>V4 · Disclosed sector transactions 2023–26 cleared 1.5–3.4x revenue (Cadre–ICOR ~2.3x; Cadre–Alpha Safety ~2.4x; Cadre–Carr's ~1.5x; Rheinmetall–Expal ~3.4x 2021 revenue)</t>
        </is>
      </c>
      <c r="C61" s="78" t="inlineStr">
        <is>
          <t>VERIFIED</t>
        </is>
      </c>
      <c r="D61" s="140" t="inlineStr">
        <is>
          <t>Cadre Holdings — https://www.cadre-holdings.com/news-events/press-releases/detail/45/cadre-holdings-to-acquire-icor-technology</t>
        </is>
      </c>
      <c r="E61" s="79" t="inlineStr">
        <is>
          <t>2023–2025</t>
        </is>
      </c>
    </row>
    <row r="62" ht="45" customHeight="1" s="74">
      <c r="B62" s="78" t="inlineStr">
        <is>
          <t>V5 · Lower-middle-market private EBITDA multiples: sub-$10M TEV 5.5x, $10–25M 6.4x (GF Data 2025); Pepperdine 2025 ~4.0–8.3x range</t>
        </is>
      </c>
      <c r="C62" s="78" t="inlineStr">
        <is>
          <t>VERIFIED</t>
        </is>
      </c>
      <c r="D62" s="140" t="inlineStr">
        <is>
          <t>CapitalPad / BVR — https://capitalpad.com/lower-middle-market-ebitda-multiples/</t>
        </is>
      </c>
      <c r="E62" s="79" t="inlineStr">
        <is>
          <t>2025</t>
        </is>
      </c>
    </row>
    <row r="63" ht="45" customHeight="1" s="74">
      <c r="B63" s="78" t="inlineStr">
        <is>
          <t>V6 · Diehl–Tauber (Oct 2025, ~€100M revenue, price undisclosed); Diehl–EST Energetics (Jul 2026); Arca–Esplodenti Sabino (Oct 2025) — strategics consolidating the large end</t>
        </is>
      </c>
      <c r="C63" s="78" t="inlineStr">
        <is>
          <t>VERIFIED</t>
        </is>
      </c>
      <c r="D63" s="140" t="inlineStr">
        <is>
          <t>Diehl Defence — https://new.diehl.com/defence/en/press-media/news/est-energetics-becomes-part-of-diehl-defence</t>
        </is>
      </c>
      <c r="E63" s="79" t="inlineStr">
        <is>
          <t>2025–26</t>
        </is>
      </c>
    </row>
    <row r="64" ht="45" customHeight="1" s="74">
      <c r="B64" s="78" t="inlineStr">
        <is>
          <t>P1 · UNMAS/UNPD ran two procurements in 2025 for mobile small-arms ammunition destruction (RFIUNPD23632 Uganda, to 12.7mm; EOIUNPD23750 20-ft container, ≥40 kg/hr, deployable to eight missions)</t>
        </is>
      </c>
      <c r="C64" s="78" t="inlineStr">
        <is>
          <t>VERIFIED</t>
        </is>
      </c>
      <c r="D64" s="140" t="inlineStr">
        <is>
          <t>UNGM — https://www.ungm.org/Public/Notice/271658</t>
        </is>
      </c>
      <c r="E64" s="79" t="inlineStr">
        <is>
          <t>2025</t>
        </is>
      </c>
    </row>
    <row r="65" ht="45" customHeight="1" s="74">
      <c r="B65" s="78" t="inlineStr">
        <is>
          <t>P2 · PSPC/DND W8486-217446/B 'Ammunition and Explosives Demilitarization and Disposal Services' (Canada)</t>
        </is>
      </c>
      <c r="C65" s="78" t="inlineStr">
        <is>
          <t>PARTIALLY VERIFIED</t>
        </is>
      </c>
      <c r="D65" s="140" t="inlineStr">
        <is>
          <t>MERX — https://www.merx.com/public/supplier/interception/view-notice/22784936377?origin=0</t>
        </is>
      </c>
      <c r="E65" s="79" t="inlineStr">
        <is>
          <t>—</t>
        </is>
      </c>
    </row>
    <row r="66" ht="45" customHeight="1" s="74">
      <c r="B66" s="78" t="inlineStr">
        <is>
          <t>P3 · UK MoD DE&amp;S EOD &amp; Search Supportability Framework pipeline notice, £23M, 2028–2036</t>
        </is>
      </c>
      <c r="C66" s="78" t="inlineStr">
        <is>
          <t>VERIFIED</t>
        </is>
      </c>
      <c r="D66" s="140" t="inlineStr">
        <is>
          <t>Defence Online — https://www.defenceonline.co.uk/2026/08/27/explosive-ordnance-disposal-and-search-supportability-framework/</t>
        </is>
      </c>
      <c r="E66" s="79" t="inlineStr">
        <is>
          <t>27 Aug 2026</t>
        </is>
      </c>
    </row>
    <row r="67" ht="45" customHeight="1" s="74">
      <c r="B67" s="78" t="inlineStr">
        <is>
          <t>A1 · Y0 (2026) revenue = placeholder pending Tom's FY2026 estimate; FY2025 actual used as anchor</t>
        </is>
      </c>
      <c r="C67" s="78" t="inlineStr">
        <is>
          <t>PLACEHOLDER</t>
        </is>
      </c>
      <c r="D67" s="78" t="inlineStr">
        <is>
          <t>—</t>
        </is>
      </c>
      <c r="E67" s="79" t="inlineStr">
        <is>
          <t>Sep 2026</t>
        </is>
      </c>
    </row>
    <row r="68" ht="45" customHeight="1" s="74">
      <c r="B68" s="78" t="inlineStr">
        <is>
          <t>A2 · TAM/SAM/SOM construction ('our construction'): TAM ~US$4–6bn/yr forming + US$27.6bn episodic (Ukraine); SAM NA+Europe ~US$1.5–2.5bn; SOM = model Year-5 revenue</t>
        </is>
      </c>
      <c r="C68" s="78" t="inlineStr">
        <is>
          <t>ASSUMPTION</t>
        </is>
      </c>
      <c r="D68" s="78" t="inlineStr">
        <is>
          <t>Model — Market tab</t>
        </is>
      </c>
      <c r="E68" s="79" t="inlineStr">
        <is>
          <t>Sep 2026</t>
        </is>
      </c>
    </row>
    <row r="69" ht="45" customHeight="1" s="74">
      <c r="B69" s="78" t="inlineStr">
        <is>
          <t>A3 · Acquisition programme: six capability acquisitions 2028–2033, entry revenue $10–20M, priced at 5.0–6.0x EBITDA (≈0.7–1.1x revenue) with a 2.0x-revenue cost sensitivity; post-acquisition growth 12% base</t>
        </is>
      </c>
      <c r="C69" s="78" t="inlineStr">
        <is>
          <t>ASSUMPTION</t>
        </is>
      </c>
      <c r="D69" s="78" t="inlineStr">
        <is>
          <t>Model — Acquisitions tab</t>
        </is>
      </c>
      <c r="E69" s="79" t="inlineStr">
        <is>
          <t>Sep 2026</t>
        </is>
      </c>
    </row>
    <row r="70" ht="45" customHeight="1" s="74">
      <c r="B70" s="78" t="inlineStr">
        <is>
          <t>A4 · Discount rate 25% base (20–30% sensitivity) on the Year-10 DFV bridge; exit multiples 8–12x EBITDA in the returns case</t>
        </is>
      </c>
      <c r="C70" s="78" t="inlineStr">
        <is>
          <t>ASSUMPTION</t>
        </is>
      </c>
      <c r="D70" s="78" t="inlineStr">
        <is>
          <t>Model — Returns tab</t>
        </is>
      </c>
      <c r="E70" s="79" t="inlineStr">
        <is>
          <t>Sep 2026</t>
        </is>
      </c>
    </row>
    <row r="71" ht="45" customHeight="1" s="74">
      <c r="B71" s="78" t="inlineStr">
        <is>
          <t>A5 · Metals recovery contribution 10% of custody-destruction services revenue (base); 5%/15% scenarios; recovery underwritten on commercial/allied/LE work only, never on DoD demil services metal (10 USC 7690)</t>
        </is>
      </c>
      <c r="C71" s="78" t="inlineStr">
        <is>
          <t>ASSUMPTION</t>
        </is>
      </c>
      <c r="D71" s="78" t="inlineStr">
        <is>
          <t>Model — Inputs</t>
        </is>
      </c>
      <c r="E71" s="79" t="inlineStr">
        <is>
          <t>Sep 2026</t>
        </is>
      </c>
    </row>
    <row r="72" ht="45" customHeight="1" s="74">
      <c r="B72" s="78" t="inlineStr">
        <is>
          <t>A6 · Chemical-weapons demilitarization line removed from model and deck (OPCW-controlled, shrinking, off-strategy)</t>
        </is>
      </c>
      <c r="C72" s="78" t="inlineStr">
        <is>
          <t>REMOVED</t>
        </is>
      </c>
      <c r="D72" s="78" t="inlineStr">
        <is>
          <t>—</t>
        </is>
      </c>
      <c r="E72" s="79" t="inlineStr">
        <is>
          <t>Sep 2026</t>
        </is>
      </c>
    </row>
    <row r="73" ht="45" customHeight="1" s="74">
      <c r="B73" s="78" t="inlineStr">
        <is>
          <t>R1 · Initial raise (Round 1) confirmed at US$10.0M</t>
        </is>
      </c>
      <c r="C73" s="78" t="inlineStr">
        <is>
          <t>COMPANY-PROVIDED</t>
        </is>
      </c>
      <c r="D73" s="78" t="inlineStr">
        <is>
          <t>—</t>
        </is>
      </c>
      <c r="E73" s="79" t="inlineStr">
        <is>
          <t>2 Sep 2026</t>
        </is>
      </c>
    </row>
    <row r="74" ht="45" customHeight="1" s="74">
      <c r="B74" s="78" t="inlineStr">
        <is>
          <t>R2 · Use of proceeds for the initial raise: $4.15M fully funds the model's Phase 1 (2026–27) operating requirement; remaining $5.85M held as reserve toward first-acquisition diligence, negotiation and working capital — explicitly not sufficient to close an acquisition (first target ~$17.8M, first two combined ~$26.8M)</t>
        </is>
      </c>
      <c r="C74" s="78" t="inlineStr">
        <is>
          <t>ASSUMPTION / OUR CONSTRUCTION</t>
        </is>
      </c>
      <c r="D74" s="78" t="inlineStr">
        <is>
          <t>Model — Outputs tab (raise1_phase1, raise1_reserve, deal1_consid, deal12_consid)</t>
        </is>
      </c>
      <c r="E74" s="79" t="inlineStr">
        <is>
          <t>2 Sep 2026</t>
        </is>
      </c>
    </row>
    <row r="75" ht="45" customHeight="1" s="74">
      <c r="B75" s="78" t="inlineStr">
        <is>
          <t>R3 · Team slide: Tom (Founder &amp; CEO, TWB Designs) and Joe Kasper (Strategic Advisor)</t>
        </is>
      </c>
      <c r="C75" s="78" t="inlineStr">
        <is>
          <t>COMPANY-PROVIDED</t>
        </is>
      </c>
      <c r="D75" s="140" t="inlineStr">
        <is>
          <t>REalloys, Inc. — https://realloys.com/team/</t>
        </is>
      </c>
      <c r="E75" s="79" t="inlineStr">
        <is>
          <t>30 Mar 2026</t>
        </is>
      </c>
    </row>
  </sheetData>
  <hyperlinks>
    <hyperlink xmlns:r="http://schemas.openxmlformats.org/officeDocument/2006/relationships" ref="D7" display="SIPRI, Trends in World Military Expenditure 2025 — https://www.sipri.org/sites/default/files/2026-04/2604_milex_2025.pdf" r:id="rId1"/>
    <hyperlink xmlns:r="http://schemas.openxmlformats.org/officeDocument/2006/relationships" ref="D8" display="SIPRI, Trends in World Military Expenditure 2025 — https://www.sipri.org/sites/default/files/2026-04/2604_milex_2025.pdf" r:id="rId2"/>
    <hyperlink xmlns:r="http://schemas.openxmlformats.org/officeDocument/2006/relationships" ref="D9" display="Uppsala University / UCDP press release — https://www.uu.se/en/press/press-releases/2026/2026-06-09-ucdp-record-number-of-conflicts-between-states" r:id="rId3"/>
    <hyperlink xmlns:r="http://schemas.openxmlformats.org/officeDocument/2006/relationships" ref="D10" display="Landmine Monitor 2025 — https://the-monitor.org/api/assets/reports/Landmine-Monitors/LMM2025/Downloads/LM2025-Major-Findings_EN.pdf" r:id="rId4"/>
    <hyperlink xmlns:r="http://schemas.openxmlformats.org/officeDocument/2006/relationships" ref="D11" display="World Bank / Govt of Ukraine, RDNA5 — https://www.worldbank.org/en/news/press-release/2026/02/23/updated-ukraine-recovery-and-reconstruction-needs-assessment-released" r:id="rId5"/>
    <hyperlink xmlns:r="http://schemas.openxmlformats.org/officeDocument/2006/relationships" ref="D12" display="Global Growth Insights, EOD market report — https://www.globalgrowthinsights.com/market-reports/explosive-ordnance-disposal-eod-market-109006" r:id="rId6"/>
    <hyperlink xmlns:r="http://schemas.openxmlformats.org/officeDocument/2006/relationships" ref="D13" display="US Dept of State / JMU CISR mirror — https://www.jmu.edu/cisr/research/tweis/fy23/index.shtml" r:id="rId7"/>
    <hyperlink xmlns:r="http://schemas.openxmlformats.org/officeDocument/2006/relationships" ref="D14" display="Rheinmetall AG press release — https://www.rheinmetall.com/en/media/news-watch/news/2025/06/2025-06-03-rheinmetall-receives-major-international-orders-for-155mm-artillery-ammunition" r:id="rId8"/>
    <hyperlink xmlns:r="http://schemas.openxmlformats.org/officeDocument/2006/relationships" ref="D15" display="Stars and Stripes — https://www.stripes.com/branches/army/2026-07-14/army-artillery-shell-shortfall-22262070.html" r:id="rId9"/>
    <hyperlink xmlns:r="http://schemas.openxmlformats.org/officeDocument/2006/relationships" ref="D16" display="Breaking Defense — https://breakingdefense.com/2026/03/nato-sees-145b-in-munitions-needs-as-members-all-hit-2-percent-gdp-for-first-time/" r:id="rId10"/>
    <hyperlink xmlns:r="http://schemas.openxmlformats.org/officeDocument/2006/relationships" ref="D17" display="US Army FY2027 Budget Estimates, Procurement of Ammunition — https://www.asafm.army.mil/Portals/72/Documents/BudgetMaterial/2027/Discretionary%20Budget/Procurement/Procurement_of_Ammunition.pdf" r:id="rId11"/>
    <hyperlink xmlns:r="http://schemas.openxmlformats.org/officeDocument/2006/relationships" ref="D18" display="US Army FY2027 Procurement of Ammunition — https://www.asafm.army.mil/Portals/72/Documents/BudgetMaterial/2027/Discretionary%20Budget/Procurement/Procurement_of_Ammunition.pdf" r:id="rId12"/>
    <hyperlink xmlns:r="http://schemas.openxmlformats.org/officeDocument/2006/relationships" ref="D19" display="Hrycak, 'Demil Enterprise Strategic Plan', NDIA — https://www.ndia.org/-/media/sites/ndia/meetings-and-events/proceedings/2025/FFC/October%201/Hrycak_Orest_2025%20FFC_1%20October%202025.pdf" r:id="rId13"/>
    <hyperlink xmlns:r="http://schemas.openxmlformats.org/officeDocument/2006/relationships" ref="D20" display="Hrycak, NDIA Global Demil Symposium — https://www.ndia.org/-/media/sites/ndia/meetings-and-events/proceedings/2025/FFC/October%201/Hrycak_Orest_2025%20FFC_1%20October%202025.pdf" r:id="rId14"/>
    <hyperlink xmlns:r="http://schemas.openxmlformats.org/officeDocument/2006/relationships" ref="D21" display="GovCon Wire / Aerotech News — https://govconwire.com/2021/05/army-taps-three-companies-for-110m-ammunition-disposal-contract" r:id="rId15"/>
    <hyperlink xmlns:r="http://schemas.openxmlformats.org/officeDocument/2006/relationships" ref="D22" display="DoD contracts (GlobalSecurity mirror) — https://www.globalsecurity.org/military/library/news/2026/06/dod-contracts_4512718.htm" r:id="rId16"/>
    <hyperlink xmlns:r="http://schemas.openxmlformats.org/officeDocument/2006/relationships" ref="D23" display="HigherGov W52P1J-19-R-0017 — https://www.highergov.com/contract-opportunity/conventional-ammunition-demilitarization-w52p1j-19-r-0017-o-e5416/" r:id="rId17"/>
    <hyperlink xmlns:r="http://schemas.openxmlformats.org/officeDocument/2006/relationships" ref="D24" display="National Academies Press — https://www.nationalacademies.org/read/25140/chapter/4" r:id="rId18"/>
    <hyperlink xmlns:r="http://schemas.openxmlformats.org/officeDocument/2006/relationships" ref="D25" display="Hrycak, NDIA — https://www.ndia.org/-/media/sites/ndia/meetings-and-events/proceedings/2025/FFC/October%201/Hrycak_Orest_2025%20FFC_1%20October%202025.pdf" r:id="rId19"/>
    <hyperlink xmlns:r="http://schemas.openxmlformats.org/officeDocument/2006/relationships" ref="D26" display="Federal Register — https://www.federalregister.gov/documents/2024/03/20/2024-05088/revisions-to-standards-for-the-open-burningopen-detonation-of-waste-explosives" r:id="rId20"/>
    <hyperlink xmlns:r="http://schemas.openxmlformats.org/officeDocument/2006/relationships" ref="D27" display="eCFR — https://www.ecfr.gov/current/title-40/chapter-I/subchapter-I/part-260/subpart-B/section-260.10" r:id="rId21"/>
    <hyperlink xmlns:r="http://schemas.openxmlformats.org/officeDocument/2006/relationships" ref="D28" display="acquisition.gov — https://www.acquisition.gov/dfars/225.872-1-general." r:id="rId22"/>
    <hyperlink xmlns:r="http://schemas.openxmlformats.org/officeDocument/2006/relationships" ref="D29" display="Federal Register / USGS — https://www.federalregister.gov/documents/2025/11/07/2025-19813/final-2025-list-of-critical-minerals" r:id="rId23"/>
    <hyperlink xmlns:r="http://schemas.openxmlformats.org/officeDocument/2006/relationships" ref="D30" display="GAO — https://www.gao.gov/products/gao-26-108687" r:id="rId24"/>
    <hyperlink xmlns:r="http://schemas.openxmlformats.org/officeDocument/2006/relationships" ref="D31" display="US Code (OLRC) — https://uscode.house.gov/view.xhtml?req=granuleid:USC-prelim-title10-section7690&amp;num=0&amp;edition=prelim" r:id="rId25"/>
    <hyperlink xmlns:r="http://schemas.openxmlformats.org/officeDocument/2006/relationships" ref="D32" display="USGS MCS 2026 — Antimony — https://pubs.usgs.gov/periodicals/mcs2026/mcs2026-antimony.pdf" r:id="rId26"/>
    <hyperlink xmlns:r="http://schemas.openxmlformats.org/officeDocument/2006/relationships" ref="D33" display="Ontario.ca — https://www.ontario.ca/page/environmental-compliance-approval" r:id="rId27"/>
    <hyperlink xmlns:r="http://schemas.openxmlformats.org/officeDocument/2006/relationships" ref="D34" display="CBS News Los Angeles — https://www.cbsnews.com/losangeles/news/explosion-los-angeles-county-sheriffs-department-training-facility/" r:id="rId28"/>
    <hyperlink xmlns:r="http://schemas.openxmlformats.org/officeDocument/2006/relationships" ref="D35" display="Officer.com — https://www.officer.com/tactical/firearm-accessories/product/10446308/twb-designs-inc-emacs-ammo-burner" r:id="rId29"/>
    <hyperlink xmlns:r="http://schemas.openxmlformats.org/officeDocument/2006/relationships" ref="D36" display="Google Patents — https://patents.google.com/patent/US6758151B2/en" r:id="rId30"/>
    <hyperlink xmlns:r="http://schemas.openxmlformats.org/officeDocument/2006/relationships" ref="D37" display="TWB Designs — https://twbdesigns.com/Environmental-Mobile-Ammunition-Combustion/eMACS-Environmental-Mobile-Ammunition-Combustion-System.php" r:id="rId31"/>
    <hyperlink xmlns:r="http://schemas.openxmlformats.org/officeDocument/2006/relationships" ref="D38" display="TWB Designs MACS page — https://twbdesigns.com/Environmental-Mobile-Ammunition-Combustion/MACS-Mobile-Ammunition-Combustion-System-Canadian-Version.php" r:id="rId32"/>
    <hyperlink xmlns:r="http://schemas.openxmlformats.org/officeDocument/2006/relationships" ref="D39" display="PRWeb — https://www.prweb.com/releases/environmentally_smart_ammunition_disposal_heads_to_northern_europe/prweb11392397.htm" r:id="rId33"/>
    <hyperlink xmlns:r="http://schemas.openxmlformats.org/officeDocument/2006/relationships" ref="D40" display="Officer.com — https://www.officer.com/on-the-street/apparel/article/10440937/results-from-the-2011-innovation-awards?page=2" r:id="rId34"/>
    <hyperlink xmlns:r="http://schemas.openxmlformats.org/officeDocument/2006/relationships" ref="D41" display="City of Hilliard — https://hilliardohio.gov/safer-homes-spring-clean-out-ammunition-take-back-day-planned-march-21/" r:id="rId35"/>
    <hyperlink xmlns:r="http://schemas.openxmlformats.org/officeDocument/2006/relationships" ref="D42" display="PRWeb — https://www.prweb.com/releases/environmentally_smart_ammunition_disposal_heads_to_northern_europe/prweb11392397.htm" r:id="rId36"/>
    <hyperlink xmlns:r="http://schemas.openxmlformats.org/officeDocument/2006/relationships" ref="D43" display="CADS (cached page) — https://cadsammunitiondisposal.com/About-Us/About-eMACS.php" r:id="rId37"/>
    <hyperlink xmlns:r="http://schemas.openxmlformats.org/officeDocument/2006/relationships" ref="D44" display="CADS — https://cadsammunitiondisposal.com/About-Us/About-eMACS.php" r:id="rId38"/>
    <hyperlink xmlns:r="http://schemas.openxmlformats.org/officeDocument/2006/relationships" ref="D51" display="Dynasafe — https://dynasafe.com/demilitarization/munitions-destruction-tech/static-detonation-chamber-demilitarization/" r:id="rId39"/>
    <hyperlink xmlns:r="http://schemas.openxmlformats.org/officeDocument/2006/relationships" ref="D52" display="Rheinmetall — https://www.rheinmetall.com/en/company/subsidiaries/american-rheinmetall-munitions" r:id="rId40"/>
    <hyperlink xmlns:r="http://schemas.openxmlformats.org/officeDocument/2006/relationships" ref="D53" display="GD-OTS — https://www.gdots.com/wp-content/uploads/2017/11/Demil-Capabilities.pdf" r:id="rId41"/>
    <hyperlink xmlns:r="http://schemas.openxmlformats.org/officeDocument/2006/relationships" ref="D54" display="El Dorado Engineering — https://www.eldoradoengineering.com/thermal-disposal/transportable-flashing-furnace-tff/" r:id="rId42"/>
    <hyperlink xmlns:r="http://schemas.openxmlformats.org/officeDocument/2006/relationships" ref="D55" display="General Atomics — https://www.ga.com/demilitarization-and-hazardous-waste-destruction" r:id="rId43"/>
    <hyperlink xmlns:r="http://schemas.openxmlformats.org/officeDocument/2006/relationships" ref="D56" display="Day &amp; Zimmermann — https://www.dayzim.com/services-and-products/munitions/demilitarization-conventional-munitions" r:id="rId44"/>
    <hyperlink xmlns:r="http://schemas.openxmlformats.org/officeDocument/2006/relationships" ref="D57" display="EnviroSafe Demil — https://envirosafedemil.com/about-esd" r:id="rId45"/>
    <hyperlink xmlns:r="http://schemas.openxmlformats.org/officeDocument/2006/relationships" ref="D58" display="StockAnalysis — https://stockanalysis.com/stocks/cdre/statistics/" r:id="rId46"/>
    <hyperlink xmlns:r="http://schemas.openxmlformats.org/officeDocument/2006/relationships" ref="D59" display="StockAnalysis — https://stockanalysis.com/stocks/abat/statistics/" r:id="rId47"/>
    <hyperlink xmlns:r="http://schemas.openxmlformats.org/officeDocument/2006/relationships" ref="D60" display="PCE Companies — https://www.pcecompanies.com/resources/industry-reports/aerospace-government-ma-update" r:id="rId48"/>
    <hyperlink xmlns:r="http://schemas.openxmlformats.org/officeDocument/2006/relationships" ref="D61" display="Cadre Holdings — https://www.cadre-holdings.com/news-events/press-releases/detail/45/cadre-holdings-to-acquire-icor-technology" r:id="rId49"/>
    <hyperlink xmlns:r="http://schemas.openxmlformats.org/officeDocument/2006/relationships" ref="D62" display="CapitalPad / BVR — https://capitalpad.com/lower-middle-market-ebitda-multiples/" r:id="rId50"/>
    <hyperlink xmlns:r="http://schemas.openxmlformats.org/officeDocument/2006/relationships" ref="D63" display="Diehl Defence — https://new.diehl.com/defence/en/press-media/news/est-energetics-becomes-part-of-diehl-defence" r:id="rId51"/>
    <hyperlink xmlns:r="http://schemas.openxmlformats.org/officeDocument/2006/relationships" ref="D64" display="UNGM — https://www.ungm.org/Public/Notice/271658" r:id="rId52"/>
    <hyperlink xmlns:r="http://schemas.openxmlformats.org/officeDocument/2006/relationships" ref="D65" display="MERX — https://www.merx.com/public/supplier/interception/view-notice/22784936377?origin=0" r:id="rId53"/>
    <hyperlink xmlns:r="http://schemas.openxmlformats.org/officeDocument/2006/relationships" ref="D66" display="Defence Online — https://www.defenceonline.co.uk/2026/08/27/explosive-ordnance-disposal-and-search-supportability-framework/" r:id="rId54"/>
    <hyperlink xmlns:r="http://schemas.openxmlformats.org/officeDocument/2006/relationships" ref="D75" display="REalloys, Inc. — https://realloys.com/team/" r:id="rId5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CFCDC4"/>
    <outlinePr summaryBelow="1" summaryRight="1"/>
    <pageSetUpPr fitToPage="0"/>
  </sheetPr>
  <dimension ref="B2:I8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73" min="1" max="1"/>
    <col width="6" customWidth="1" style="73" min="2" max="2"/>
    <col width="12" customWidth="1" style="73" min="3" max="3"/>
    <col width="55" customWidth="1" style="73" min="4" max="4"/>
    <col width="18" customWidth="1" style="73" min="5" max="5"/>
    <col width="55" customWidth="1" style="73" min="6" max="6"/>
    <col width="40" customWidth="1" style="73" min="7" max="7"/>
    <col width="11" customWidth="1" style="73" min="8" max="8"/>
    <col width="45" customWidth="1" style="73" min="9" max="9"/>
    <col width="11" customWidth="1" style="73" min="10" max="14"/>
  </cols>
  <sheetData>
    <row r="2" ht="17.25" customHeight="1" s="74">
      <c r="B2" s="75" t="inlineStr">
        <is>
          <t>Fact-check log &amp; source map</t>
        </is>
      </c>
    </row>
    <row r="3" ht="15" customHeight="1" s="74">
      <c r="B3" s="76" t="inlineStr">
        <is>
          <t>Every key claim in the deck and memo: status, support found, and what changed versus the August 2026 package. Also lists the changes made to the deck.</t>
        </is>
      </c>
    </row>
    <row r="6" ht="15" customHeight="1" s="74">
      <c r="B6" s="85" t="inlineStr">
        <is>
          <t>ID</t>
        </is>
      </c>
      <c r="C6" s="85" t="inlineStr">
        <is>
          <t>Area</t>
        </is>
      </c>
      <c r="D6" s="85" t="inlineStr">
        <is>
          <t>Claim as used in the new package</t>
        </is>
      </c>
      <c r="E6" s="85" t="inlineStr">
        <is>
          <t>Status</t>
        </is>
      </c>
      <c r="F6" s="85" t="inlineStr">
        <is>
          <t>Support found</t>
        </is>
      </c>
      <c r="G6" s="85" t="inlineStr">
        <is>
          <t>Source (hyperlinked)</t>
        </is>
      </c>
      <c r="H6" s="85" t="inlineStr">
        <is>
          <t>Date</t>
        </is>
      </c>
      <c r="I6" s="85" t="inlineStr">
        <is>
          <t>Change vs August 2026 package</t>
        </is>
      </c>
    </row>
    <row r="7" ht="60" customHeight="1" s="74">
      <c r="B7" s="78" t="inlineStr">
        <is>
          <t>M1</t>
        </is>
      </c>
      <c r="C7" s="78" t="inlineStr">
        <is>
          <t>Market</t>
        </is>
      </c>
      <c r="D7" s="78" t="inlineStr">
        <is>
          <t>World military expenditure 2025 = US$2,887bn, all-time record, 11th consecutive rise</t>
        </is>
      </c>
      <c r="E7" s="141" t="inlineStr">
        <is>
          <t>VERIFIED</t>
        </is>
      </c>
      <c r="F7" s="78" t="inlineStr">
        <is>
          <t>SIPRI Fact Sheet Apr 2026: 'rose by 2.9 per cent in real terms to $2887 billion in 2025… highest spending level ever recorded'</t>
        </is>
      </c>
      <c r="G7" s="140" t="inlineStr">
        <is>
          <t>SIPRI, Trends in World Military Expenditure 2025</t>
        </is>
      </c>
      <c r="H7" s="78" t="inlineStr">
        <is>
          <t>Apr 2026</t>
        </is>
      </c>
      <c r="I7" s="78" t="inlineStr">
        <is>
          <t>New in package (not in original deck)</t>
        </is>
      </c>
    </row>
    <row r="8" ht="60" customHeight="1" s="74">
      <c r="B8" s="78" t="inlineStr">
        <is>
          <t>M2</t>
        </is>
      </c>
      <c r="C8" s="78" t="inlineStr">
        <is>
          <t>Market</t>
        </is>
      </c>
      <c r="D8" s="78" t="inlineStr">
        <is>
          <t>European military spending doubled 2016–25 (+102%); Europe $864bn in 2025</t>
        </is>
      </c>
      <c r="E8" s="141" t="inlineStr">
        <is>
          <t>VERIFIED</t>
        </is>
      </c>
      <c r="F8" s="78" t="inlineStr">
        <is>
          <t>Same SIPRI fact sheet: 'Over the decade 2016–25, military spending in the region doubled (+102 per cent)'</t>
        </is>
      </c>
      <c r="G8" s="140" t="inlineStr">
        <is>
          <t>SIPRI, Trends in World Military Expenditure 2025</t>
        </is>
      </c>
      <c r="H8" s="78" t="inlineStr">
        <is>
          <t>Apr 2026</t>
        </is>
      </c>
      <c r="I8" s="78" t="inlineStr">
        <is>
          <t>New</t>
        </is>
      </c>
    </row>
    <row r="9" ht="60" customHeight="1" s="74">
      <c r="B9" s="78" t="inlineStr">
        <is>
          <t>M3</t>
        </is>
      </c>
      <c r="C9" s="78" t="inlineStr">
        <is>
          <t>Market</t>
        </is>
      </c>
      <c r="D9" s="78" t="inlineStr">
        <is>
          <t>65 state-based armed conflicts in 2025 — most since records began in 1946; 8 interstate</t>
        </is>
      </c>
      <c r="E9" s="141" t="inlineStr">
        <is>
          <t>VERIFIED</t>
        </is>
      </c>
      <c r="F9" s="78" t="inlineStr">
        <is>
          <t>Davies, Pettersson &amp; Öberg (2026), 'Organized violence 1989–2025', Journal of Peace Research 63(4)</t>
        </is>
      </c>
      <c r="G9" s="140" t="inlineStr">
        <is>
          <t>Uppsala University / UCDP press release</t>
        </is>
      </c>
      <c r="H9" s="78" t="inlineStr">
        <is>
          <t>9 Jun 2026</t>
        </is>
      </c>
      <c r="I9" s="78" t="inlineStr">
        <is>
          <t>New</t>
        </is>
      </c>
    </row>
    <row r="10" ht="60" customHeight="1" s="74">
      <c r="B10" s="78" t="inlineStr">
        <is>
          <t>M4</t>
        </is>
      </c>
      <c r="C10" s="78" t="inlineStr">
        <is>
          <t>Market</t>
        </is>
      </c>
      <c r="D10" s="78" t="inlineStr">
        <is>
          <t>Global mine action funding US$1.07bn in 2024 (international $761M, national $306.3M); US freeze in 2025 cut programmes</t>
        </is>
      </c>
      <c r="E10" s="141" t="inlineStr">
        <is>
          <t>VERIFIED</t>
        </is>
      </c>
      <c r="F10" s="78" t="inlineStr">
        <is>
          <t>Landmine Monitor 2025 Major Findings; ICBL-CMC factsheet on 2025 US funding cuts</t>
        </is>
      </c>
      <c r="G10" s="140" t="inlineStr">
        <is>
          <t>Landmine Monitor 2025</t>
        </is>
      </c>
      <c r="H10" s="78" t="inlineStr">
        <is>
          <t>Nov 2025</t>
        </is>
      </c>
      <c r="I10" s="78" t="inlineStr">
        <is>
          <t>Retained from original model; year-tagged</t>
        </is>
      </c>
    </row>
    <row r="11" ht="60" customHeight="1" s="74">
      <c r="B11" s="78" t="inlineStr">
        <is>
          <t>M5</t>
        </is>
      </c>
      <c r="C11" s="78" t="inlineStr">
        <is>
          <t>Market</t>
        </is>
      </c>
      <c r="D11" s="78" t="inlineStr">
        <is>
          <t>Ukraine explosive-hazard management need US$27.6bn (2026–2035); ~133,000 km² contaminated</t>
        </is>
      </c>
      <c r="E11" s="141" t="inlineStr">
        <is>
          <t>VERIFIED (SUPERSEDES RDNA4)</t>
        </is>
      </c>
      <c r="F11" s="78" t="inlineStr">
        <is>
          <t>RDNA5 (23 Feb 2026): 'Total recovery and reconstruction needs are estimated at US$27.6 billion'; footprint reduced to ~133,000 km². Original package used RDNA4 $29.8bn / 139,000 km².</t>
        </is>
      </c>
      <c r="G11" s="140" t="inlineStr">
        <is>
          <t>World Bank / Govt of Ukraine, RDNA5</t>
        </is>
      </c>
      <c r="H11" s="78" t="inlineStr">
        <is>
          <t>23 Feb 2026</t>
        </is>
      </c>
      <c r="I11" s="78" t="inlineStr">
        <is>
          <t>UPDATED: $29.8–31bn → $27.6bn (RDNA5)</t>
        </is>
      </c>
    </row>
    <row r="12" ht="60" customHeight="1" s="74">
      <c r="B12" s="78" t="inlineStr">
        <is>
          <t>M6</t>
        </is>
      </c>
      <c r="C12" s="78" t="inlineStr">
        <is>
          <t>Market</t>
        </is>
      </c>
      <c r="D12" s="78" t="inlineStr">
        <is>
          <t>Global EOD equipment &amp; services market ~US$8.5–8.8bn (2025–26), ~3% CAGR; equipment-only estimates ~$5.5–5.7bn</t>
        </is>
      </c>
      <c r="E12" s="78" t="inlineStr">
        <is>
          <t>PARTIALLY VERIFIED</t>
        </is>
      </c>
      <c r="F12" s="78" t="inlineStr">
        <is>
          <t>Global Growth Insights: $8.55bn (2025) → $11.52bn (2035), 3.03% CAGR; Spherical Insights $8.61bn (2026); Mordor $5.69bn equipment (2025). The original deck's '$9.6bn' could not be found.</t>
        </is>
      </c>
      <c r="G12" s="140" t="inlineStr">
        <is>
          <t>Global Growth Insights, EOD market report</t>
        </is>
      </c>
      <c r="H12" s="78" t="inlineStr">
        <is>
          <t>2026</t>
        </is>
      </c>
      <c r="I12" s="78" t="inlineStr">
        <is>
          <t>SOFTENED: $9.0bn midpoint → $8.55bn with named house; CAGR 4.5% → 3.0%</t>
        </is>
      </c>
    </row>
    <row r="13" ht="60" customHeight="1" s="74">
      <c r="B13" s="78" t="inlineStr">
        <is>
          <t>M7</t>
        </is>
      </c>
      <c r="C13" s="78" t="inlineStr">
        <is>
          <t>Market</t>
        </is>
      </c>
      <c r="D13" s="78" t="inlineStr">
        <is>
          <t>US conventional weapons destruction assistance &gt;US$5.09bn to 125+ countries since 1993</t>
        </is>
      </c>
      <c r="E13" s="141" t="inlineStr">
        <is>
          <t>VERIFIED (SUPERSEDES '$4bn')</t>
        </is>
      </c>
      <c r="F13" s="78" t="inlineStr">
        <is>
          <t>To Walk the Earth in Safety, 23rd ed. (FY2023): 'more than $5.09 billion in assistance to over 125 countries and areas since 1993'</t>
        </is>
      </c>
      <c r="G13" s="140" t="inlineStr">
        <is>
          <t>US Dept of State / JMU CISR mirror</t>
        </is>
      </c>
      <c r="H13" s="78" t="inlineStr">
        <is>
          <t>Apr 2024</t>
        </is>
      </c>
      <c r="I13" s="78" t="inlineStr">
        <is>
          <t>UPDATED: $4bn/100+ → $5.09bn/125+</t>
        </is>
      </c>
    </row>
    <row r="14" ht="60" customHeight="1" s="74">
      <c r="B14" s="78" t="inlineStr">
        <is>
          <t>M8</t>
        </is>
      </c>
      <c r="C14" s="78" t="inlineStr">
        <is>
          <t>Market</t>
        </is>
      </c>
      <c r="D14" s="78" t="inlineStr">
        <is>
          <t>Rheinmetall 155mm capacity target 'at least 1.1 million' (company release) to 'up to 1.5 million' rounds/yr by 2027 (company statements reported by press)</t>
        </is>
      </c>
      <c r="E14" s="78" t="inlineStr">
        <is>
          <t>PARTIALLY VERIFIED</t>
        </is>
      </c>
      <c r="F14" s="78" t="inlineStr">
        <is>
          <t>Rheinmetall press release Jun 2025 (1.1M); Kyiv Post Oct 2025 (up to 1.5M)</t>
        </is>
      </c>
      <c r="G14" s="140" t="inlineStr">
        <is>
          <t>Rheinmetall AG press release</t>
        </is>
      </c>
      <c r="H14" s="78" t="inlineStr">
        <is>
          <t>Jun 2025</t>
        </is>
      </c>
      <c r="I14" s="78" t="inlineStr">
        <is>
          <t>SOFTENED: '1.5M' → '1.1–1.5M (company statements)'</t>
        </is>
      </c>
    </row>
    <row r="15" ht="60" customHeight="1" s="74">
      <c r="B15" s="78" t="inlineStr">
        <is>
          <t>M9</t>
        </is>
      </c>
      <c r="C15" s="78" t="inlineStr">
        <is>
          <t>Market</t>
        </is>
      </c>
      <c r="D15" s="78" t="inlineStr">
        <is>
          <t>US Army 155mm target 100,000 rounds/month (Oct 2025 goal); ~36,000/month actual per DoD IG (Jul 2026)</t>
        </is>
      </c>
      <c r="E15" s="141" t="inlineStr">
        <is>
          <t>VERIFIED</t>
        </is>
      </c>
      <c r="F15" s="78" t="inlineStr">
        <is>
          <t>DoD IG evaluation reported by Stars and Stripes 14 Jul 2026</t>
        </is>
      </c>
      <c r="G15" s="140" t="inlineStr">
        <is>
          <t>Stars and Stripes</t>
        </is>
      </c>
      <c r="H15" s="78" t="inlineStr">
        <is>
          <t>14 Jul 2026</t>
        </is>
      </c>
      <c r="I15" s="78" t="inlineStr">
        <is>
          <t>New (used as production-surge context only)</t>
        </is>
      </c>
    </row>
    <row r="16" ht="60" customHeight="1" s="74">
      <c r="B16" s="78" t="inlineStr">
        <is>
          <t>M10</t>
        </is>
      </c>
      <c r="C16" s="78" t="inlineStr">
        <is>
          <t>Market</t>
        </is>
      </c>
      <c r="D16" s="78" t="inlineStr">
        <is>
          <t>NATO: up to $145bn in shared munitions and air-defence requirements identified; Allied production up ~sixfold</t>
        </is>
      </c>
      <c r="E16" s="141" t="inlineStr">
        <is>
          <t>VERIFIED</t>
        </is>
      </c>
      <c r="F16" s="78" t="inlineStr">
        <is>
          <t>NATO Annual Report 2025 briefing (26 Mar 2026), Rutte remarks</t>
        </is>
      </c>
      <c r="G16" s="140" t="inlineStr">
        <is>
          <t>Breaking Defense</t>
        </is>
      </c>
      <c r="H16" s="78" t="inlineStr">
        <is>
          <t>26 Mar 2026</t>
        </is>
      </c>
      <c r="I16" s="78" t="inlineStr">
        <is>
          <t>New</t>
        </is>
      </c>
    </row>
    <row r="17" ht="60" customHeight="1" s="74">
      <c r="B17" s="78" t="inlineStr">
        <is>
          <t>D1</t>
        </is>
      </c>
      <c r="C17" s="78" t="inlineStr">
        <is>
          <t>US demil</t>
        </is>
      </c>
      <c r="D17" s="78" t="inlineStr">
        <is>
          <t>US demil stockpile 296,534 tons as of 4 Dec 2025 (246,681 conventional + 49,853 missile components) — B5A account</t>
        </is>
      </c>
      <c r="E17" s="141" t="inlineStr">
        <is>
          <t>VERIFIED</t>
        </is>
      </c>
      <c r="F17" s="78" t="inlineStr">
        <is>
          <t>FY2027 Army Procurement of Ammunition justification book, line 4099EP1700</t>
        </is>
      </c>
      <c r="G17" s="140" t="inlineStr">
        <is>
          <t>US Army FY2027 Budget Estimates, Procurement of Ammunition</t>
        </is>
      </c>
      <c r="H17" s="78" t="inlineStr">
        <is>
          <t>Apr 2026</t>
        </is>
      </c>
      <c r="I17" s="78" t="inlineStr">
        <is>
          <t>REPLACES original deck's implied '400,000 tons' framing</t>
        </is>
      </c>
    </row>
    <row r="18" ht="60" customHeight="1" s="74">
      <c r="B18" s="78" t="inlineStr">
        <is>
          <t>D2</t>
        </is>
      </c>
      <c r="C18" s="78" t="inlineStr">
        <is>
          <t>US demil</t>
        </is>
      </c>
      <c r="D18" s="78" t="inlineStr">
        <is>
          <t>Army conventional munitions demilitarization line: $155.050M FY2026, $161.179M FY2027; FY2027 funded plan 31,475 tons</t>
        </is>
      </c>
      <c r="E18" s="141" t="inlineStr">
        <is>
          <t>VERIFIED</t>
        </is>
      </c>
      <c r="F18" s="78" t="inlineStr">
        <is>
          <t>Same justification book (P-40 line 36)</t>
        </is>
      </c>
      <c r="G18" s="140" t="inlineStr">
        <is>
          <t>US Army FY2027 Procurement of Ammunition</t>
        </is>
      </c>
      <c r="H18" s="78" t="inlineStr">
        <is>
          <t>Apr 2026</t>
        </is>
      </c>
      <c r="I18" s="78" t="inlineStr">
        <is>
          <t>REPLACES '$3bn across 2026–27 demil awards' (unsupported)</t>
        </is>
      </c>
    </row>
    <row r="19" ht="60" customHeight="1" s="74">
      <c r="B19" s="78" t="inlineStr">
        <is>
          <t>D3</t>
        </is>
      </c>
      <c r="C19" s="78" t="inlineStr">
        <is>
          <t>US demil</t>
        </is>
      </c>
      <c r="D19" s="78" t="inlineStr">
        <is>
          <t>Stockpile has fallen 37% since end-FY2016 (471,767 → 296,534 t) while missile components rose from 6.5% to 16.8% of the account; Army forecasts generations to increase FY27–31 (PD Demil Oct 2025 forecast: 361,220 short tons by FY30)</t>
        </is>
      </c>
      <c r="E19" s="141" t="inlineStr">
        <is>
          <t>VERIFIED</t>
        </is>
      </c>
      <c r="F19" s="78" t="inlineStr">
        <is>
          <t>P-1 book series FY2018–FY2027 (deck/DEMIL_BACKLOG_SERIES.md); PD Demil NDIA Global Demil Symposium deck (Oct 2025)</t>
        </is>
      </c>
      <c r="G19" s="140" t="inlineStr">
        <is>
          <t>Hrycak, 'Demil Enterprise Strategic Plan', NDIA</t>
        </is>
      </c>
      <c r="H19" s="78" t="inlineStr">
        <is>
          <t>1 Oct 2025</t>
        </is>
      </c>
      <c r="I19" s="78" t="inlineStr">
        <is>
          <t>New; both series shown with their dates</t>
        </is>
      </c>
    </row>
    <row r="20" ht="60" customHeight="1" s="74">
      <c r="B20" s="78" t="inlineStr">
        <is>
          <t>D4</t>
        </is>
      </c>
      <c r="C20" s="78" t="inlineStr">
        <is>
          <t>US demil</t>
        </is>
      </c>
      <c r="D20" s="78" t="inlineStr">
        <is>
          <t>PM Demil plans a ~$30M/yr competitive Conventional Ammunition Demil IDIQ for 2026–2030 (anticipated award Aug 2026 — award not yet evidenced)</t>
        </is>
      </c>
      <c r="E20" s="78" t="inlineStr">
        <is>
          <t>PARTIALLY VERIFIED</t>
        </is>
      </c>
      <c r="F20" s="78" t="inlineStr">
        <is>
          <t>Same NDIA deck: 'CAD 2026-2030 … $30M/yr Competitive IDIQ/FFP'. No successor award found on DoD contracts or SAM.gov as of 1 Sep 2026.</t>
        </is>
      </c>
      <c r="G20" s="140" t="inlineStr">
        <is>
          <t>Hrycak, NDIA Global Demil Symposium</t>
        </is>
      </c>
      <c r="H20" s="78" t="inlineStr">
        <is>
          <t>1 Oct 2025</t>
        </is>
      </c>
      <c r="I20" s="78" t="inlineStr">
        <is>
          <t>REPLACES '$808.8M IDIQ' (could not be verified anywhere — REMOVED)</t>
        </is>
      </c>
    </row>
    <row r="21" ht="60" customHeight="1" s="74">
      <c r="B21" s="78" t="inlineStr">
        <is>
          <t>D5</t>
        </is>
      </c>
      <c r="C21" s="78" t="inlineStr">
        <is>
          <t>US demil</t>
        </is>
      </c>
      <c r="D21" s="78" t="inlineStr">
        <is>
          <t>Prior $110.1M multiple-award demil contract (2021): GD-OTS, EnviroSafe Demil, Expal USA; ordering period ended 20 May 2026</t>
        </is>
      </c>
      <c r="E21" s="141" t="inlineStr">
        <is>
          <t>VERIFIED</t>
        </is>
      </c>
      <c r="F21" s="78" t="inlineStr">
        <is>
          <t>DoD contract announcement 21 May 2021 (W52P1J-21-F-0225/-0250/-0244)</t>
        </is>
      </c>
      <c r="G21" s="140" t="inlineStr">
        <is>
          <t>GovCon Wire / Aerotech News</t>
        </is>
      </c>
      <c r="H21" s="78" t="inlineStr">
        <is>
          <t>21 May 2021</t>
        </is>
      </c>
      <c r="I21" s="78" t="inlineStr">
        <is>
          <t>New (replaces unverifiable $808.8M)</t>
        </is>
      </c>
    </row>
    <row r="22" ht="60" customHeight="1" s="74">
      <c r="B22" s="78" t="inlineStr">
        <is>
          <t>D6</t>
        </is>
      </c>
      <c r="C22" s="78" t="inlineStr">
        <is>
          <t>US demil</t>
        </is>
      </c>
      <c r="D22" s="78" t="inlineStr">
        <is>
          <t>Hawthorne Army Depot: $2,301,227,487 firm-fixed-price contract to Day &amp; Zimmermann (9 Jun 2026) for operation, maintenance and modernization incl. demil of specified ammunition families and 14 additional work statements, to Dec 2046</t>
        </is>
      </c>
      <c r="E22" s="141" t="inlineStr">
        <is>
          <t>VERIFIED</t>
        </is>
      </c>
      <c r="F22" s="78" t="inlineStr">
        <is>
          <t>DoD Contracts for 9 Jun 2026; D&amp;Z release 26 Jun 2026</t>
        </is>
      </c>
      <c r="G22" s="140" t="inlineStr">
        <is>
          <t>DoD contracts (GlobalSecurity mirror)</t>
        </is>
      </c>
      <c r="H22" s="78" t="inlineStr">
        <is>
          <t>9 Jun 2026</t>
        </is>
      </c>
      <c r="I22" s="78" t="inlineStr">
        <is>
          <t>SOFTENED: presented as depot O&amp;M evidence of fixed-site model, not as a demil market figure</t>
        </is>
      </c>
    </row>
    <row r="23" ht="60" customHeight="1" s="74">
      <c r="B23" s="78" t="inlineStr">
        <is>
          <t>D7</t>
        </is>
      </c>
      <c r="C23" s="78" t="inlineStr">
        <is>
          <t>US demil</t>
        </is>
      </c>
      <c r="D23" s="78" t="inlineStr">
        <is>
          <t>'Army has explicitly reserved demil capacity for new entrants / small-business set-asides'</t>
        </is>
      </c>
      <c r="E23" s="142" t="inlineStr">
        <is>
          <t>REMOVED</t>
        </is>
      </c>
      <c r="F23" s="78" t="inlineStr">
        <is>
          <t>No SAM.gov notice, DoD announcement or PD Demil slide references a set-aside or new-entrant programme; the 2019 solicitation was full-and-open. Canadian entity cannot hold US small-business status.</t>
        </is>
      </c>
      <c r="G23" s="140" t="inlineStr">
        <is>
          <t>HigherGov W52P1J-19-R-0017</t>
        </is>
      </c>
      <c r="H23" s="78" t="inlineStr">
        <is>
          <t>—</t>
        </is>
      </c>
      <c r="I23" s="78" t="inlineStr">
        <is>
          <t>REMOVED from slides 5, 7, 16 of original</t>
        </is>
      </c>
    </row>
    <row r="24" ht="60" customHeight="1" s="74">
      <c r="B24" s="78" t="inlineStr">
        <is>
          <t>D8</t>
        </is>
      </c>
      <c r="C24" s="78" t="inlineStr">
        <is>
          <t>US demil</t>
        </is>
      </c>
      <c r="D24" s="78" t="inlineStr">
        <is>
          <t>Conventional demil average cost $2,890/ton (2017 DoD report, cited by NAS 2019); Army estimates OB/OD at ~$750/ton and contained burn/detonation at $2,000–20,000/ton</t>
        </is>
      </c>
      <c r="E24" s="141" t="inlineStr">
        <is>
          <t>VERIFIED</t>
        </is>
      </c>
      <c r="F24" s="78" t="inlineStr">
        <is>
          <t>National Academies (2019), Alternatives for the Demilitarization of Conventional Munitions, ch. 2 &amp; 8. GAO-15-538 contains tonnage, not $/ton — original attribution to GAO corrected.</t>
        </is>
      </c>
      <c r="G24" s="140" t="inlineStr">
        <is>
          <t>National Academies Press</t>
        </is>
      </c>
      <c r="H24" s="78" t="inlineStr">
        <is>
          <t>2019</t>
        </is>
      </c>
      <c r="I24" s="78" t="inlineStr">
        <is>
          <t>CORRECTED attribution (GAO → NAS/Army)</t>
        </is>
      </c>
    </row>
    <row r="25" ht="60" customHeight="1" s="74">
      <c r="B25" s="78" t="inlineStr">
        <is>
          <t>D9</t>
        </is>
      </c>
      <c r="C25" s="78" t="inlineStr">
        <is>
          <t>US demil</t>
        </is>
      </c>
      <c r="D25" s="78" t="inlineStr">
        <is>
          <t>Over 7,000 DODICs in the demil account</t>
        </is>
      </c>
      <c r="E25" s="141" t="inlineStr">
        <is>
          <t>VERIFIED</t>
        </is>
      </c>
      <c r="F25" s="78" t="inlineStr">
        <is>
          <t>PD Demil NDIA deck (31 Jul 2025 data)</t>
        </is>
      </c>
      <c r="G25" s="140" t="inlineStr">
        <is>
          <t>Hrycak, NDIA</t>
        </is>
      </c>
      <c r="H25" s="78" t="inlineStr">
        <is>
          <t>Oct 2025</t>
        </is>
      </c>
      <c r="I25" s="78" t="inlineStr">
        <is>
          <t>Replaces '7,600 unique items'</t>
        </is>
      </c>
    </row>
    <row r="26" ht="60" customHeight="1" s="74">
      <c r="B26" s="78" t="inlineStr">
        <is>
          <t>R1</t>
        </is>
      </c>
      <c r="C26" s="78" t="inlineStr">
        <is>
          <t>Regulatory</t>
        </is>
      </c>
      <c r="D26" s="78" t="inlineStr">
        <is>
          <t>EPA proposed rule on open burning/open detonation of waste explosives, 89 FR 19952 (20 Mar 2024), affects 67 facilities with operating OB/OD units; final rule projected Oct 2026 (Unified Agenda) — NOT yet final</t>
        </is>
      </c>
      <c r="E26" s="141" t="inlineStr">
        <is>
          <t>VERIFIED</t>
        </is>
      </c>
      <c r="F26" s="78" t="inlineStr">
        <is>
          <t>Federal Register proposed rule; EPA programme page (updated 23 Jun 2026); Reginfo RIN 2050-AH24</t>
        </is>
      </c>
      <c r="G26" s="140" t="inlineStr">
        <is>
          <t>Federal Register</t>
        </is>
      </c>
      <c r="H26" s="78" t="inlineStr">
        <is>
          <t>20 Mar 2024</t>
        </is>
      </c>
      <c r="I26" s="78" t="inlineStr">
        <is>
          <t>New; status stated as proposed</t>
        </is>
      </c>
    </row>
    <row r="27" ht="60" customHeight="1" s="74">
      <c r="B27" s="78" t="inlineStr">
        <is>
          <t>R2</t>
        </is>
      </c>
      <c r="C27" s="78" t="inlineStr">
        <is>
          <t>Regulatory</t>
        </is>
      </c>
      <c r="D27" s="78" t="inlineStr">
        <is>
          <t>40 CFR 260.10 defines open burning as combustion without control of combustion air, containment in an enclosed device, and control of emissions — a closed chamber is categorically not open burning</t>
        </is>
      </c>
      <c r="E27" s="141" t="inlineStr">
        <is>
          <t>VERIFIED</t>
        </is>
      </c>
      <c r="F27" s="78" t="inlineStr">
        <is>
          <t>eCFR 40 CFR 260.10 definition quoted</t>
        </is>
      </c>
      <c r="G27" s="140" t="inlineStr">
        <is>
          <t>eCFR</t>
        </is>
      </c>
      <c r="H27" s="78" t="inlineStr">
        <is>
          <t>current</t>
        </is>
      </c>
      <c r="I27" s="78" t="inlineStr">
        <is>
          <t>New</t>
        </is>
      </c>
    </row>
    <row r="28" ht="60" customHeight="1" s="74">
      <c r="B28" s="78" t="inlineStr">
        <is>
          <t>R3</t>
        </is>
      </c>
      <c r="C28" s="78" t="inlineStr">
        <is>
          <t>Regulatory</t>
        </is>
      </c>
      <c r="D28" s="78" t="inlineStr">
        <is>
          <t>Canada is a DFARS 225.872 qualifying country — Buy American restrictions not applied to qualifying-country end products</t>
        </is>
      </c>
      <c r="E28" s="141" t="inlineStr">
        <is>
          <t>VERIFIED</t>
        </is>
      </c>
      <c r="F28" s="78" t="inlineStr">
        <is>
          <t>DFARS 225.872-1</t>
        </is>
      </c>
      <c r="G28" s="140" t="inlineStr">
        <is>
          <t>acquisition.gov</t>
        </is>
      </c>
      <c r="H28" s="78" t="inlineStr">
        <is>
          <t>current</t>
        </is>
      </c>
      <c r="I28" s="78" t="inlineStr">
        <is>
          <t>New (replaces 'no ITAR barrier for a Canadian operator' — SOFTENED)</t>
        </is>
      </c>
    </row>
    <row r="29" ht="60" customHeight="1" s="74">
      <c r="B29" s="78" t="inlineStr">
        <is>
          <t>R4</t>
        </is>
      </c>
      <c r="C29" s="78" t="inlineStr">
        <is>
          <t>Regulatory</t>
        </is>
      </c>
      <c r="D29" s="78" t="inlineStr">
        <is>
          <t>Final 2025 US Critical Minerals List, 90 FR 50494 (7 Nov 2025): copper and lead newly added; antimony retained from the 2022 list</t>
        </is>
      </c>
      <c r="E29" s="141" t="inlineStr">
        <is>
          <t>VERIFIED (corrected)</t>
        </is>
      </c>
      <c r="F29" s="78" t="inlineStr">
        <is>
          <t>USGS: 'The final List adds 10 new minerals — boron, copper, lead, …'; antimony already listed in 2022</t>
        </is>
      </c>
      <c r="G29" s="140" t="inlineStr">
        <is>
          <t>Federal Register / USGS</t>
        </is>
      </c>
      <c r="H29" s="78" t="inlineStr">
        <is>
          <t>7 Nov 2025</t>
        </is>
      </c>
      <c r="I29" s="78" t="inlineStr">
        <is>
          <t>CORRECTED: antimony not 'added' in 2025</t>
        </is>
      </c>
    </row>
    <row r="30" ht="60" customHeight="1" s="74">
      <c r="B30" s="78" t="inlineStr">
        <is>
          <t>R5</t>
        </is>
      </c>
      <c r="C30" s="78" t="inlineStr">
        <is>
          <t>Regulatory</t>
        </is>
      </c>
      <c r="D30" s="78" t="inlineStr">
        <is>
          <t>GAO-26-108687 (22 Jul 2026), Critical Minerals: Reducing U.S. Import Reliance with Substitution and Recycling Technologies — recycling feedstock 'often landfilled or exported'; domestic recycling infrastructure a policy option</t>
        </is>
      </c>
      <c r="E30" s="141" t="inlineStr">
        <is>
          <t>VERIFIED</t>
        </is>
      </c>
      <c r="F30" s="78" t="inlineStr">
        <is>
          <t>GAO technology assessment; note it addresses battery/semiconductor minerals, not munitions scrap — used as policy-direction context only</t>
        </is>
      </c>
      <c r="G30" s="140" t="inlineStr">
        <is>
          <t>GAO</t>
        </is>
      </c>
      <c r="H30" s="78" t="inlineStr">
        <is>
          <t>22 Jul 2026</t>
        </is>
      </c>
      <c r="I30" s="78" t="inlineStr">
        <is>
          <t>SOFTENED wording vs original slide 10</t>
        </is>
      </c>
    </row>
    <row r="31" ht="60" customHeight="1" s="74">
      <c r="B31" s="78" t="inlineStr">
        <is>
          <t>R6</t>
        </is>
      </c>
      <c r="C31" s="78" t="inlineStr">
        <is>
          <t>Regulatory</t>
        </is>
      </c>
      <c r="D31" s="78" t="inlineStr">
        <is>
          <t>10 USC 7690: Army may sell recyclable munitions materials from demil and retain proceeds in a dedicated account; 10 USC 7687: sale of excess ammunition to licensed manufacturers</t>
        </is>
      </c>
      <c r="E31" s="141" t="inlineStr">
        <is>
          <t>VERIFIED</t>
        </is>
      </c>
      <c r="F31" s="78" t="inlineStr">
        <is>
          <t>US Code text; the phrase 'government retains title' is not statutory — reworded</t>
        </is>
      </c>
      <c r="G31" s="140" t="inlineStr">
        <is>
          <t>US Code (OLRC)</t>
        </is>
      </c>
      <c r="H31" s="78" t="inlineStr">
        <is>
          <t>current</t>
        </is>
      </c>
      <c r="I31" s="78" t="inlineStr">
        <is>
          <t>Deck slide 18 and memo — governs recovery underwriting</t>
        </is>
      </c>
    </row>
    <row r="32" ht="60" customHeight="1" s="74">
      <c r="B32" s="78" t="inlineStr">
        <is>
          <t>R7</t>
        </is>
      </c>
      <c r="C32" s="78" t="inlineStr">
        <is>
          <t>Regulatory</t>
        </is>
      </c>
      <c r="D32" s="78" t="inlineStr">
        <is>
          <t>Antimony: USGS average price $5.49/lb (2023) → $10.24/lb (2024) → ~$25/lb (2025), peak ~$27.50/lb (~$60,000/t) mid-2025 after China's Aug 2024 restrictions and Dec 2024 US export ban; EXIM approved a $2.9bn loan for the Stibnite antimony/gold project (May 2026)</t>
        </is>
      </c>
      <c r="E32" s="141" t="inlineStr">
        <is>
          <t>VERIFIED (corrected)</t>
        </is>
      </c>
      <c r="F32" s="78" t="inlineStr">
        <is>
          <t>USGS Mineral Commodity Summaries 2026; Perpetua Resources release 21 May 2026. The original '2,600%' and '$1B Pentagon commitment' could not be supported.</t>
        </is>
      </c>
      <c r="G32" s="140" t="inlineStr">
        <is>
          <t>USGS MCS 2026 — Antimony</t>
        </is>
      </c>
      <c r="H32" s="78" t="inlineStr">
        <is>
          <t>Jan 2026</t>
        </is>
      </c>
      <c r="I32" s="78" t="inlineStr">
        <is>
          <t>REPLACED: '2,600% / $1B DoD' → '~5x to ~$60k/t peak; EXIM $2.9bn'</t>
        </is>
      </c>
    </row>
    <row r="33" ht="60" customHeight="1" s="74">
      <c r="B33" s="78" t="inlineStr">
        <is>
          <t>R8</t>
        </is>
      </c>
      <c r="C33" s="78" t="inlineStr">
        <is>
          <t>Regulatory</t>
        </is>
      </c>
      <c r="D33" s="78" t="inlineStr">
        <is>
          <t>Ontario Environmental Compliance Approval (MECP) and TSSA field approval/inspection are the correct terms</t>
        </is>
      </c>
      <c r="E33" s="141" t="inlineStr">
        <is>
          <t>VERIFIED</t>
        </is>
      </c>
      <c r="F33" s="78" t="inlineStr">
        <is>
          <t>Ontario.ca ECA page; TSSA Field Approval Program. 'MoE' is the ministry's obsolete name.</t>
        </is>
      </c>
      <c r="G33" s="140" t="inlineStr">
        <is>
          <t>Ontario.ca</t>
        </is>
      </c>
      <c r="H33" s="78" t="inlineStr">
        <is>
          <t>current</t>
        </is>
      </c>
      <c r="I33" s="78" t="inlineStr">
        <is>
          <t>CORRECTED terminology: 'Ontario MoE approved' → 'Ontario MECP ECA; TSSA field-approved' (company-provided)</t>
        </is>
      </c>
    </row>
    <row r="34" ht="60" customHeight="1" s="74">
      <c r="B34" s="78" t="inlineStr">
        <is>
          <t>R9</t>
        </is>
      </c>
      <c r="C34" s="78" t="inlineStr">
        <is>
          <t>Safety</t>
        </is>
      </c>
      <c r="D34" s="78" t="inlineStr">
        <is>
          <t>Los Angeles County Sheriff's Department, 18 Jul 2025: three Arson-Explosives detectives killed at Biscailuz Center while handling seized ordnance</t>
        </is>
      </c>
      <c r="E34" s="141" t="inlineStr">
        <is>
          <t>VERIFIED</t>
        </is>
      </c>
      <c r="F34" s="78" t="inlineStr">
        <is>
          <t>CBS Los Angeles reporting</t>
        </is>
      </c>
      <c r="G34" s="140" t="inlineStr">
        <is>
          <t>CBS News Los Angeles</t>
        </is>
      </c>
      <c r="H34" s="78" t="inlineStr">
        <is>
          <t>18 Jul 2025</t>
        </is>
      </c>
      <c r="I34" s="78" t="inlineStr">
        <is>
          <t>New</t>
        </is>
      </c>
    </row>
    <row r="35" ht="60" customHeight="1" s="74">
      <c r="B35" s="78" t="inlineStr">
        <is>
          <t>C1</t>
        </is>
      </c>
      <c r="C35" s="78" t="inlineStr">
        <is>
          <t>Company</t>
        </is>
      </c>
      <c r="D35" s="78" t="inlineStr">
        <is>
          <t>eMACS/MACS developed in a joint venture with the RCMP; in use since 2001</t>
        </is>
      </c>
      <c r="E35" s="141" t="inlineStr">
        <is>
          <t>VERIFIED</t>
        </is>
      </c>
      <c r="F35" s="78" t="inlineStr">
        <is>
          <t>Officer.com product listing: 'designed in a joint venture between the Royal Canadian Mounted Police and TWB Designs… In use since 2001'</t>
        </is>
      </c>
      <c r="G35" s="140" t="inlineStr">
        <is>
          <t>Officer.com</t>
        </is>
      </c>
      <c r="H35" s="78" t="inlineStr">
        <is>
          <t>2011</t>
        </is>
      </c>
      <c r="I35" s="78" t="inlineStr">
        <is>
          <t>Retained</t>
        </is>
      </c>
    </row>
    <row r="36" ht="60" customHeight="1" s="74">
      <c r="B36" s="78" t="inlineStr">
        <is>
          <t>C2</t>
        </is>
      </c>
      <c r="C36" s="78" t="inlineStr">
        <is>
          <t>Company</t>
        </is>
      </c>
      <c r="D36" s="78" t="inlineStr">
        <is>
          <t>Patents: CA 2,402,939 (granted 2008) and US 6,758,151 (granted 2004, from application 10/242,764), 'Remotely activated armored incinerator with gas emission control' — inventors Braithwaite &amp; Ivany; assignee the Crown/RCMP; both now expired (US lapsed 2016; CA term ended 2022)</t>
        </is>
      </c>
      <c r="E36" s="141" t="inlineStr">
        <is>
          <t>VERIFIED (corrected)</t>
        </is>
      </c>
      <c r="F36" s="78" t="inlineStr">
        <is>
          <t>Google Patents records</t>
        </is>
      </c>
      <c r="G36" s="140" t="inlineStr">
        <is>
          <t>Google Patents</t>
        </is>
      </c>
      <c r="H36" s="78" t="inlineStr">
        <is>
          <t>2004/2008</t>
        </is>
      </c>
      <c r="I36" s="78" t="inlineStr">
        <is>
          <t>CORRECTED: presented as 'originally patented (now expired); 25 years of accumulated process know-how' — no live-patent claim</t>
        </is>
      </c>
    </row>
    <row r="37" ht="60" customHeight="1" s="74">
      <c r="B37" s="78" t="inlineStr">
        <is>
          <t>C3</t>
        </is>
      </c>
      <c r="C37" s="78" t="inlineStr">
        <is>
          <t>Company</t>
        </is>
      </c>
      <c r="D37" s="78" t="inlineStr">
        <is>
          <t>97% of recyclable material recovered per cycle; tested to .50 calibre; ~850°F primary / ~1,750°F afterburner; 'meets or exceeds California EPA, NATO and EU emissions standards'</t>
        </is>
      </c>
      <c r="E37" s="143" t="inlineStr">
        <is>
          <t>COMPANY-PROVIDED (published on twbdesigns.com)</t>
        </is>
      </c>
      <c r="F37" s="78" t="inlineStr">
        <is>
          <t>twbdesigns.com eMACS page; Officer.com. Third-party verification not yet published — labelled as company operating figures.</t>
        </is>
      </c>
      <c r="G37" s="140" t="inlineStr">
        <is>
          <t>TWB Designs</t>
        </is>
      </c>
      <c r="H37" s="78" t="inlineStr">
        <is>
          <t>2026</t>
        </is>
      </c>
      <c r="I37" s="78" t="inlineStr">
        <is>
          <t>Labelled 'company figure'</t>
        </is>
      </c>
    </row>
    <row r="38" ht="60" customHeight="1" s="74">
      <c r="B38" s="78" t="inlineStr">
        <is>
          <t>C4</t>
        </is>
      </c>
      <c r="C38" s="78" t="inlineStr">
        <is>
          <t>Company</t>
        </is>
      </c>
      <c r="D38" s="78" t="inlineStr">
        <is>
          <t>Throughput: up to ~100 lb (45.4 kg) per one-hour cycle; ~1,000 lb/day per unit (company); twbdesigns.com eMACS page states 60 lb/hr</t>
        </is>
      </c>
      <c r="E38" s="143" t="inlineStr">
        <is>
          <t>COMPANY-PROVIDED (inconsistent public figures)</t>
        </is>
      </c>
      <c r="F38" s="78" t="inlineStr">
        <is>
          <t>MACS page: 'up to 45.5 kg of ammunition in an hour or less'; eMACS page &amp; Officer.com: 60 lb/hr; 2013 release: ~1,000 lb/day</t>
        </is>
      </c>
      <c r="G38" s="140" t="inlineStr">
        <is>
          <t>TWB Designs MACS page</t>
        </is>
      </c>
      <c r="H38" s="78" t="inlineStr">
        <is>
          <t>2026</t>
        </is>
      </c>
      <c r="I38" s="78" t="inlineStr">
        <is>
          <t>Deck uses '~1,000 lb/day per unit (company figure)'; hourly rate footnoted — TOM TO CONFIRM which is current</t>
        </is>
      </c>
    </row>
    <row r="39" ht="60" customHeight="1" s="74">
      <c r="B39" s="78" t="inlineStr">
        <is>
          <t>C5</t>
        </is>
      </c>
      <c r="C39" s="78" t="inlineStr">
        <is>
          <t>Company</t>
        </is>
      </c>
      <c r="D39" s="78" t="inlineStr">
        <is>
          <t>~1,000 lb/day of small-arms ammunition yields ~$1,000/day of reclaimed clean metal (2013, indicative)</t>
        </is>
      </c>
      <c r="E39" s="143" t="inlineStr">
        <is>
          <t>COMPANY-PROVIDED</t>
        </is>
      </c>
      <c r="F39" s="78" t="inlineStr">
        <is>
          <t>PRWeb release 6 Dec 2013; CBS Philadelphia 2015: ~52 lb lead + 32 lb brass per 100-lb batch</t>
        </is>
      </c>
      <c r="G39" s="140" t="inlineStr">
        <is>
          <t>PRWeb</t>
        </is>
      </c>
      <c r="H39" s="78" t="inlineStr">
        <is>
          <t>6 Dec 2013</t>
        </is>
      </c>
      <c r="I39" s="78" t="inlineStr">
        <is>
          <t>Retained with 2013 date; no dollar-recovery tables</t>
        </is>
      </c>
    </row>
    <row r="40" ht="60" customHeight="1" s="74">
      <c r="B40" s="78" t="inlineStr">
        <is>
          <t>C6</t>
        </is>
      </c>
      <c r="C40" s="78" t="inlineStr">
        <is>
          <t>Company</t>
        </is>
      </c>
      <c r="D40" s="78" t="inlineStr">
        <is>
          <t>Innovation-award recognition: eMACS was a finalist in the 2011 Law Enforcement Technology / Cygnus Innovation Awards presented at the IACP conference (Chicago)</t>
        </is>
      </c>
      <c r="E40" s="141" t="inlineStr">
        <is>
          <t>VERIFIED (corrected)</t>
        </is>
      </c>
      <c r="F40" s="78" t="inlineStr">
        <is>
          <t>Officer.com results page: finalist, Firearms &amp; Weapons Accessories. Not an IACP award and not a win.</t>
        </is>
      </c>
      <c r="G40" s="140" t="inlineStr">
        <is>
          <t>Officer.com</t>
        </is>
      </c>
      <c r="H40" s="78" t="inlineStr">
        <is>
          <t>Oct 2011</t>
        </is>
      </c>
      <c r="I40" s="78" t="inlineStr">
        <is>
          <t>CORRECTED: 'IACP Competitive Innovation Award' → 'Innovation Awards finalist (IACP 2011)'</t>
        </is>
      </c>
    </row>
    <row r="41" ht="60" customHeight="1" s="74">
      <c r="B41" s="78" t="inlineStr">
        <is>
          <t>C7</t>
        </is>
      </c>
      <c r="C41" s="78" t="inlineStr">
        <is>
          <t>Company</t>
        </is>
      </c>
      <c r="D41" s="78" t="inlineStr">
        <is>
          <t>Franklin County (OH) Sheriff &amp; Hilliard Division of Police ammunition take-back events (21 Mar 2026: 1,630 lb / ~54,000 rounds)</t>
        </is>
      </c>
      <c r="E41" s="78" t="inlineStr">
        <is>
          <t>PARTIALLY VERIFIED</t>
        </is>
      </c>
      <c r="F41" s="78" t="inlineStr">
        <is>
          <t>Event verified via City of Hilliard and ABC6; TWB as disposal vendor is company-provided (photo in deck shows the event).</t>
        </is>
      </c>
      <c r="G41" s="140" t="inlineStr">
        <is>
          <t>City of Hilliard</t>
        </is>
      </c>
      <c r="H41" s="78" t="inlineStr">
        <is>
          <t>Mar 2026</t>
        </is>
      </c>
      <c r="I41" s="78" t="inlineStr">
        <is>
          <t>Retained; vendor role marked company-provided</t>
        </is>
      </c>
    </row>
    <row r="42" ht="60" customHeight="1" s="74">
      <c r="B42" s="78" t="inlineStr">
        <is>
          <t>C8</t>
        </is>
      </c>
      <c r="C42" s="78" t="inlineStr">
        <is>
          <t>Company</t>
        </is>
      </c>
      <c r="D42" s="78" t="inlineStr">
        <is>
          <t>Military Equipment Denmark A/S — multi-country sales agreement (Denmark, Norway, Sweden, Finland, Latvia, Lithuania, Estonia)</t>
        </is>
      </c>
      <c r="E42" s="141" t="inlineStr">
        <is>
          <t>VERIFIED (2013 announcement)</t>
        </is>
      </c>
      <c r="F42" s="78" t="inlineStr">
        <is>
          <t>PRWeb 2013; current status company-provided</t>
        </is>
      </c>
      <c r="G42" s="140" t="inlineStr">
        <is>
          <t>PRWeb</t>
        </is>
      </c>
      <c r="H42" s="78" t="inlineStr">
        <is>
          <t>Dec 2013</t>
        </is>
      </c>
      <c r="I42" s="78" t="inlineStr">
        <is>
          <t>Retained as 'agent agreement (2013)'</t>
        </is>
      </c>
    </row>
    <row r="43" ht="60" customHeight="1" s="74">
      <c r="B43" s="78" t="inlineStr">
        <is>
          <t>C9</t>
        </is>
      </c>
      <c r="C43" s="78" t="inlineStr">
        <is>
          <t>Company</t>
        </is>
      </c>
      <c r="D43" s="78" t="inlineStr">
        <is>
          <t>Allied and partner military deployments: Australian Army, New Zealand Army, Royal Saudi Land Forces</t>
        </is>
      </c>
      <c r="E43" s="143" t="inlineStr">
        <is>
          <t>COMPANY-PROVIDED</t>
        </is>
      </c>
      <c r="F43" s="78" t="inlineStr">
        <is>
          <t>Tom confirmed all may be named (1 Sep 2026). Public support: CADS customer list (cached) names 'Australian military'; NZ and Saudi not public. Contract references available under NDA.</t>
        </is>
      </c>
      <c r="G43" s="140" t="inlineStr">
        <is>
          <t>CADS (cached page)</t>
        </is>
      </c>
      <c r="H43" s="78" t="inlineStr">
        <is>
          <t>—</t>
        </is>
      </c>
      <c r="I43" s="78" t="inlineStr">
        <is>
          <t>Named per Tom; marked 'references under NDA'</t>
        </is>
      </c>
    </row>
    <row r="44" ht="60" customHeight="1" s="74">
      <c r="B44" s="78" t="inlineStr">
        <is>
          <t>C10</t>
        </is>
      </c>
      <c r="C44" s="78" t="inlineStr">
        <is>
          <t>Company</t>
        </is>
      </c>
      <c r="D44" s="78" t="inlineStr">
        <is>
          <t>Customers include RCMP units, Sûreté du Québec, Calgary Police, Winnipeg Police, Federal Cartridge (US), Dubai Police</t>
        </is>
      </c>
      <c r="E44" s="143" t="inlineStr">
        <is>
          <t>COMPANY-PROVIDED (cached CADS page)</t>
        </is>
      </c>
      <c r="F44" s="78" t="inlineStr">
        <is>
          <t>CADS 'About eMACS' cached page; live page now 404</t>
        </is>
      </c>
      <c r="G44" s="140" t="inlineStr">
        <is>
          <t>CADS</t>
        </is>
      </c>
      <c r="H44" s="78" t="inlineStr">
        <is>
          <t>—</t>
        </is>
      </c>
      <c r="I44" s="78" t="inlineStr">
        <is>
          <t>Used in memo only (Canadian police named generically in deck)</t>
        </is>
      </c>
    </row>
    <row r="45" ht="60" customHeight="1" s="74">
      <c r="B45" s="78" t="inlineStr">
        <is>
          <t>C11</t>
        </is>
      </c>
      <c r="C45" s="78" t="inlineStr">
        <is>
          <t>Company</t>
        </is>
      </c>
      <c r="D45" s="78" t="inlineStr">
        <is>
          <t>FY2023–FY2025 combined TWB Designs + CADS financials (compiled, unaudited): revenue CAD 965,730 / 1,711,261 / 862,856; EBITDA ~CAD 419K / 492K / 235K; debt-free</t>
        </is>
      </c>
      <c r="E45" s="143" t="inlineStr">
        <is>
          <t>COMPANY-PROVIDED</t>
        </is>
      </c>
      <c r="F45" s="78" t="inlineStr">
        <is>
          <t>Compiled statements (Steve Herman Accounting) as reproduced in the original supporting memo. Model converts at Bank of Canada annual averages.</t>
        </is>
      </c>
      <c r="G45" s="78" t="inlineStr">
        <is>
          <t>Original supporting memo §2</t>
        </is>
      </c>
      <c r="H45" s="78" t="inlineStr">
        <is>
          <t>2026</t>
        </is>
      </c>
      <c r="I45" s="78" t="inlineStr">
        <is>
          <t>Memo and model only — not shown in deck (per brief)</t>
        </is>
      </c>
    </row>
    <row r="46" ht="60" customHeight="1" s="74">
      <c r="B46" s="78" t="inlineStr">
        <is>
          <t>C12</t>
        </is>
      </c>
      <c r="C46" s="78" t="inlineStr">
        <is>
          <t>Company</t>
        </is>
      </c>
      <c r="D46" s="78" t="inlineStr">
        <is>
          <t>Acquisition of TWB Designs Inc. and CADS by the current ownership group has closed (2026)</t>
        </is>
      </c>
      <c r="E46" s="143" t="inlineStr">
        <is>
          <t>COMPANY-PROVIDED</t>
        </is>
      </c>
      <c r="F46" s="78" t="inlineStr">
        <is>
          <t>Tom, 1 Sep 2026</t>
        </is>
      </c>
      <c r="G46" s="78" t="inlineStr">
        <is>
          <t>—</t>
        </is>
      </c>
      <c r="H46" s="78" t="inlineStr">
        <is>
          <t>Sep 2026</t>
        </is>
      </c>
      <c r="I46" s="78" t="inlineStr">
        <is>
          <t>Deck speaks in first person</t>
        </is>
      </c>
    </row>
    <row r="47" ht="60" customHeight="1" s="74">
      <c r="B47" s="78" t="inlineStr">
        <is>
          <t>C13</t>
        </is>
      </c>
      <c r="C47" s="78" t="inlineStr">
        <is>
          <t>Company</t>
        </is>
      </c>
      <c r="D47" s="78" t="inlineStr">
        <is>
          <t>US entity formed</t>
        </is>
      </c>
      <c r="E47" s="143" t="inlineStr">
        <is>
          <t>COMPANY-PROVIDED</t>
        </is>
      </c>
      <c r="F47" s="78" t="inlineStr">
        <is>
          <t>Tom, 1 Sep 2026</t>
        </is>
      </c>
      <c r="G47" s="78" t="inlineStr">
        <is>
          <t>—</t>
        </is>
      </c>
      <c r="H47" s="78" t="inlineStr">
        <is>
          <t>Sep 2026</t>
        </is>
      </c>
      <c r="I47" s="78" t="inlineStr">
        <is>
          <t>Deck: 'US entity established'</t>
        </is>
      </c>
    </row>
    <row r="48" ht="60" customHeight="1" s="74">
      <c r="B48" s="78" t="inlineStr">
        <is>
          <t>C14</t>
        </is>
      </c>
      <c r="C48" s="78" t="inlineStr">
        <is>
          <t>Company</t>
        </is>
      </c>
      <c r="D48" s="78" t="inlineStr">
        <is>
          <t>Trailer: 11,500 lb, Class V hitch; 3/8" plate-steel shell; remote start/stop</t>
        </is>
      </c>
      <c r="E48" s="143" t="inlineStr">
        <is>
          <t>COMPANY-PROVIDED</t>
        </is>
      </c>
      <c r="F48" s="78" t="inlineStr">
        <is>
          <t>Original deck slide 9; not public</t>
        </is>
      </c>
      <c r="G48" s="78" t="inlineStr">
        <is>
          <t>—</t>
        </is>
      </c>
      <c r="H48" s="78" t="inlineStr">
        <is>
          <t>—</t>
        </is>
      </c>
      <c r="I48" s="78" t="inlineStr">
        <is>
          <t>Retained, labelled company specification</t>
        </is>
      </c>
    </row>
    <row r="49" ht="60" customHeight="1" s="74">
      <c r="B49" s="78" t="inlineStr">
        <is>
          <t>C15</t>
        </is>
      </c>
      <c r="C49" s="78" t="inlineStr">
        <is>
          <t>Company</t>
        </is>
      </c>
      <c r="D49" s="78" t="inlineStr">
        <is>
          <t>Energetics-dissolution front end licensed from a US university (name TBC)</t>
        </is>
      </c>
      <c r="E49" s="143" t="inlineStr">
        <is>
          <t>COMPANY-PROVIDED (in discussion)</t>
        </is>
      </c>
      <c r="F49" s="78" t="inlineStr">
        <is>
          <t>Tom: 'the TBC is accurate' (1 Sep 2026)</t>
        </is>
      </c>
      <c r="G49" s="78" t="inlineStr">
        <is>
          <t>—</t>
        </is>
      </c>
      <c r="H49" s="78" t="inlineStr">
        <is>
          <t>Sep 2026</t>
        </is>
      </c>
      <c r="I49" s="78" t="inlineStr">
        <is>
          <t>Retained as 'in discussion — name withheld'</t>
        </is>
      </c>
    </row>
    <row r="50" ht="60" customHeight="1" s="74">
      <c r="B50" s="78" t="inlineStr">
        <is>
          <t>C16</t>
        </is>
      </c>
      <c r="C50" s="78" t="inlineStr">
        <is>
          <t>Company</t>
        </is>
      </c>
      <c r="D50" s="78" t="inlineStr">
        <is>
          <t>MIT partnership for metals-discrimination sensing</t>
        </is>
      </c>
      <c r="E50" s="144" t="inlineStr">
        <is>
          <t>PLACEHOLDER — TOM TO CONFIRM</t>
        </is>
      </c>
      <c r="F50" s="78" t="inlineStr">
        <is>
          <t>Tom: keep as placeholder pending confirmation. Prior research found no MIT programme.</t>
        </is>
      </c>
      <c r="G50" s="78" t="inlineStr">
        <is>
          <t>—</t>
        </is>
      </c>
      <c r="H50" s="78" t="inlineStr">
        <is>
          <t>Sep 2026</t>
        </is>
      </c>
      <c r="I50" s="78" t="inlineStr">
        <is>
          <t>Shown as '[university partner — TBC]' placeholder, not 'MIT', until confirmed</t>
        </is>
      </c>
    </row>
    <row r="51" ht="60" customHeight="1" s="74">
      <c r="B51" s="78" t="inlineStr">
        <is>
          <t>K1</t>
        </is>
      </c>
      <c r="C51" s="78" t="inlineStr">
        <is>
          <t>Competitors</t>
        </is>
      </c>
      <c r="D51" s="78" t="inlineStr">
        <is>
          <t>Dynasafe SDC 1000 'deploys in three weeks'; transportable SDC 200/500 handle small/medium calibre to 500 g TNT-eq</t>
        </is>
      </c>
      <c r="E51" s="141" t="inlineStr">
        <is>
          <t>VERIFIED</t>
        </is>
      </c>
      <c r="F51" s="78" t="inlineStr">
        <is>
          <t>Dynasafe product pages</t>
        </is>
      </c>
      <c r="G51" s="140" t="inlineStr">
        <is>
          <t>Dynasafe</t>
        </is>
      </c>
      <c r="H51" s="78" t="inlineStr">
        <is>
          <t>2026</t>
        </is>
      </c>
      <c r="I51" s="78" t="inlineStr">
        <is>
          <t>Competitive table row corrected (Dynasafe has transportable units; deployment weeks not days)</t>
        </is>
      </c>
    </row>
    <row r="52" ht="60" customHeight="1" s="74">
      <c r="B52" s="78" t="inlineStr">
        <is>
          <t>K2</t>
        </is>
      </c>
      <c r="C52" s="78" t="inlineStr">
        <is>
          <t>Competitors</t>
        </is>
      </c>
      <c r="D52" s="78" t="inlineStr">
        <is>
          <t>Rheinmetall Expal: fixed demil sites (Spain; Hooks, TX); &gt;3.5M munitions demilled since 2017; recycles &gt;80% of material received; awardee on 2021 Army demil contract</t>
        </is>
      </c>
      <c r="E52" s="141" t="inlineStr">
        <is>
          <t>VERIFIED</t>
        </is>
      </c>
      <c r="F52" s="78" t="inlineStr">
        <is>
          <t>Rheinmetall subsidiary pages; GovCon Wire</t>
        </is>
      </c>
      <c r="G52" s="140" t="inlineStr">
        <is>
          <t>Rheinmetall</t>
        </is>
      </c>
      <c r="H52" s="78" t="inlineStr">
        <is>
          <t>2026</t>
        </is>
      </c>
      <c r="I52" s="78" t="inlineStr">
        <is>
          <t>CORRECTED: original table showed Expal with no metals recovery — Expal does recycle</t>
        </is>
      </c>
    </row>
    <row r="53" ht="60" customHeight="1" s="74">
      <c r="B53" s="78" t="inlineStr">
        <is>
          <t>K3</t>
        </is>
      </c>
      <c r="C53" s="78" t="inlineStr">
        <is>
          <t>Competitors</t>
        </is>
      </c>
      <c r="D53" s="78" t="inlineStr">
        <is>
          <t>GD-OTS demil at Carthage, MO — controlled incineration, sawing, defuzing; DoD customer</t>
        </is>
      </c>
      <c r="E53" s="141" t="inlineStr">
        <is>
          <t>VERIFIED</t>
        </is>
      </c>
      <c r="F53" s="78" t="inlineStr">
        <is>
          <t>GD-OTS demil capabilities brochure</t>
        </is>
      </c>
      <c r="G53" s="140" t="inlineStr">
        <is>
          <t>GD-OTS</t>
        </is>
      </c>
      <c r="H53" s="78" t="inlineStr">
        <is>
          <t>2017</t>
        </is>
      </c>
      <c r="I53" s="78" t="inlineStr">
        <is>
          <t>Retained (location corrected in memo)</t>
        </is>
      </c>
    </row>
    <row r="54" ht="60" customHeight="1" s="74">
      <c r="B54" s="78" t="inlineStr">
        <is>
          <t>K4</t>
        </is>
      </c>
      <c r="C54" s="78" t="inlineStr">
        <is>
          <t>Competitors</t>
        </is>
      </c>
      <c r="D54" s="78" t="inlineStr">
        <is>
          <t>El Dorado Engineering: transportable flashing furnace (trailer-mounted), contained burn — equipment/engineering supplier</t>
        </is>
      </c>
      <c r="E54" s="141" t="inlineStr">
        <is>
          <t>VERIFIED</t>
        </is>
      </c>
      <c r="F54" s="78" t="inlineStr">
        <is>
          <t>EDE product page</t>
        </is>
      </c>
      <c r="G54" s="140" t="inlineStr">
        <is>
          <t>El Dorado Engineering</t>
        </is>
      </c>
      <c r="H54" s="78" t="inlineStr">
        <is>
          <t>2026</t>
        </is>
      </c>
      <c r="I54" s="78" t="inlineStr">
        <is>
          <t>Retained</t>
        </is>
      </c>
    </row>
    <row r="55" ht="60" customHeight="1" s="74">
      <c r="B55" s="78" t="inlineStr">
        <is>
          <t>K5</t>
        </is>
      </c>
      <c r="C55" s="78" t="inlineStr">
        <is>
          <t>Competitors</t>
        </is>
      </c>
      <c r="D55" s="78" t="inlineStr">
        <is>
          <t>General Atomics — demil technology vendor (cryofracture, PERSES), not a services operator</t>
        </is>
      </c>
      <c r="E55" s="141" t="inlineStr">
        <is>
          <t>VERIFIED</t>
        </is>
      </c>
      <c r="F55" s="78" t="inlineStr">
        <is>
          <t>GA-EMS page</t>
        </is>
      </c>
      <c r="G55" s="140" t="inlineStr">
        <is>
          <t>General Atomics</t>
        </is>
      </c>
      <c r="H55" s="78" t="inlineStr">
        <is>
          <t>2026</t>
        </is>
      </c>
      <c r="I55" s="78" t="inlineStr">
        <is>
          <t>REMOVED from competitor table (not an operator)</t>
        </is>
      </c>
    </row>
    <row r="56" ht="60" customHeight="1" s="74">
      <c r="B56" s="78" t="inlineStr">
        <is>
          <t>K6</t>
        </is>
      </c>
      <c r="C56" s="78" t="inlineStr">
        <is>
          <t>Competitors</t>
        </is>
      </c>
      <c r="D56" s="78" t="inlineStr">
        <is>
          <t>Day &amp; Zimmermann / SOC: &gt;16,000 tons/yr demil capacity at Hawthorne</t>
        </is>
      </c>
      <c r="E56" s="141" t="inlineStr">
        <is>
          <t>VERIFIED</t>
        </is>
      </c>
      <c r="F56" s="78" t="inlineStr">
        <is>
          <t>D&amp;Z page</t>
        </is>
      </c>
      <c r="G56" s="140" t="inlineStr">
        <is>
          <t>Day &amp; Zimmermann</t>
        </is>
      </c>
      <c r="H56" s="78" t="inlineStr">
        <is>
          <t>2026</t>
        </is>
      </c>
      <c r="I56" s="78" t="inlineStr">
        <is>
          <t>Retained</t>
        </is>
      </c>
    </row>
    <row r="57" ht="60" customHeight="1" s="74">
      <c r="B57" s="78" t="inlineStr">
        <is>
          <t>K7</t>
        </is>
      </c>
      <c r="C57" s="78" t="inlineStr">
        <is>
          <t>Competitors</t>
        </is>
      </c>
      <c r="D57" s="78" t="inlineStr">
        <is>
          <t>EnviroSafe Demil (Hooks, TX): 'clean alternative to open burning', materials recovery, Army demil awardee</t>
        </is>
      </c>
      <c r="E57" s="141" t="inlineStr">
        <is>
          <t>VERIFIED</t>
        </is>
      </c>
      <c r="F57" s="78" t="inlineStr">
        <is>
          <t>ESD site; GovCon Wire</t>
        </is>
      </c>
      <c r="G57" s="140" t="inlineStr">
        <is>
          <t>EnviroSafe Demil</t>
        </is>
      </c>
      <c r="H57" s="78" t="inlineStr">
        <is>
          <t>2026</t>
        </is>
      </c>
      <c r="I57" s="78" t="inlineStr">
        <is>
          <t>ADDED to competitor table (closest US comparable)</t>
        </is>
      </c>
    </row>
    <row r="58" ht="60" customHeight="1" s="74">
      <c r="B58" s="78" t="inlineStr">
        <is>
          <t>V1</t>
        </is>
      </c>
      <c r="C58" s="78" t="inlineStr">
        <is>
          <t>Valuation</t>
        </is>
      </c>
      <c r="D58" s="78" t="inlineStr">
        <is>
          <t>Cadre Holdings (NYSE: CDRE): TTM revenue $685.65M, EV $1.62B, EV/Revenue 2.36x, EV/EBITDA 15.25x, P/E 36.3x (31 Aug 2026); 18 acquisitions to date</t>
        </is>
      </c>
      <c r="E58" s="141" t="inlineStr">
        <is>
          <t>VERIFIED</t>
        </is>
      </c>
      <c r="F58" s="78" t="inlineStr">
        <is>
          <t>stockanalysis.com; Cadre FY2025 release</t>
        </is>
      </c>
      <c r="G58" s="140" t="inlineStr">
        <is>
          <t>StockAnalysis</t>
        </is>
      </c>
      <c r="H58" s="78" t="inlineStr">
        <is>
          <t>31 Aug 2026</t>
        </is>
      </c>
      <c r="I58" s="78" t="inlineStr">
        <is>
          <t>UPDATED from ~2.1x / P/E 42x</t>
        </is>
      </c>
    </row>
    <row r="59" ht="60" customHeight="1" s="74">
      <c r="B59" s="78" t="inlineStr">
        <is>
          <t>V2</t>
        </is>
      </c>
      <c r="C59" s="78" t="inlineStr">
        <is>
          <t>Valuation</t>
        </is>
      </c>
      <c r="D59" s="78" t="inlineStr">
        <is>
          <t>American Battery Technology (NASDAQ: ABAT): TTM revenue $16.28M, EV $317M, EV/Revenue 19.7x, net loss</t>
        </is>
      </c>
      <c r="E59" s="141" t="inlineStr">
        <is>
          <t>VERIFIED</t>
        </is>
      </c>
      <c r="F59" s="78" t="inlineStr">
        <is>
          <t>stockanalysis.com</t>
        </is>
      </c>
      <c r="G59" s="140" t="inlineStr">
        <is>
          <t>StockAnalysis</t>
        </is>
      </c>
      <c r="H59" s="78" t="inlineStr">
        <is>
          <t>26 Aug 2026</t>
        </is>
      </c>
      <c r="I59" s="78" t="inlineStr">
        <is>
          <t>UPDATED from $9.5M / 40.3x</t>
        </is>
      </c>
    </row>
    <row r="60" ht="60" customHeight="1" s="74">
      <c r="B60" s="78" t="inlineStr">
        <is>
          <t>V3</t>
        </is>
      </c>
      <c r="C60" s="78" t="inlineStr">
        <is>
          <t>Valuation</t>
        </is>
      </c>
      <c r="D60" s="78" t="inlineStr">
        <is>
          <t>A&amp;D public services EV/EBITDA ~11.2x (KPMG Government Technology Solutions, end-2025); private A&amp;D deal median 18.96x TEV/EBITDA and 4.09x TEV/Revenue (PCE Q2 2026)</t>
        </is>
      </c>
      <c r="E60" s="141" t="inlineStr">
        <is>
          <t>VERIFIED</t>
        </is>
      </c>
      <c r="F60" s="78" t="inlineStr">
        <is>
          <t>KPMG; PCE</t>
        </is>
      </c>
      <c r="G60" s="140" t="inlineStr">
        <is>
          <t>PCE Companies</t>
        </is>
      </c>
      <c r="H60" s="78" t="inlineStr">
        <is>
          <t>Aug 2026</t>
        </is>
      </c>
      <c r="I60" s="78" t="inlineStr">
        <is>
          <t>Original 11.4x/19.0x retained as 11.2x/19.0x with new sources; 19x used only as an upper bound</t>
        </is>
      </c>
    </row>
    <row r="61" ht="60" customHeight="1" s="74">
      <c r="B61" s="78" t="inlineStr">
        <is>
          <t>V4</t>
        </is>
      </c>
      <c r="C61" s="78" t="inlineStr">
        <is>
          <t>Valuation</t>
        </is>
      </c>
      <c r="D61" s="78" t="inlineStr">
        <is>
          <t>Disclosed sector transactions 2023–26 cleared 1.5–3.4x revenue (Cadre–ICOR ~2.3x; Cadre–Alpha Safety ~2.4x; Cadre–Carr's ~1.5x; Rheinmetall–Expal ~3.4x 2021 revenue)</t>
        </is>
      </c>
      <c r="E61" s="141" t="inlineStr">
        <is>
          <t>VERIFIED</t>
        </is>
      </c>
      <c r="F61" s="78" t="inlineStr">
        <is>
          <t>Cadre releases; MarketScreener; Rheinmetall</t>
        </is>
      </c>
      <c r="G61" s="140" t="inlineStr">
        <is>
          <t>Cadre Holdings</t>
        </is>
      </c>
      <c r="H61" s="78" t="inlineStr">
        <is>
          <t>2023–2025</t>
        </is>
      </c>
      <c r="I61" s="78" t="inlineStr">
        <is>
          <t>REPLACES original 1.2x revenue acquisition pricing</t>
        </is>
      </c>
    </row>
    <row r="62" ht="60" customHeight="1" s="74">
      <c r="B62" s="78" t="inlineStr">
        <is>
          <t>V5</t>
        </is>
      </c>
      <c r="C62" s="78" t="inlineStr">
        <is>
          <t>Valuation</t>
        </is>
      </c>
      <c r="D62" s="78" t="inlineStr">
        <is>
          <t>Lower-middle-market private EBITDA multiples: sub-$10M TEV 5.5x, $10–25M 6.4x (GF Data 2025); Pepperdine 2025 ~4.0–8.3x range</t>
        </is>
      </c>
      <c r="E62" s="141" t="inlineStr">
        <is>
          <t>VERIFIED</t>
        </is>
      </c>
      <c r="F62" s="78" t="inlineStr">
        <is>
          <t>GF Data via CapitalPad; Pepperdine PCMR 2025</t>
        </is>
      </c>
      <c r="G62" s="140" t="inlineStr">
        <is>
          <t>CapitalPad / BVR</t>
        </is>
      </c>
      <c r="H62" s="78" t="inlineStr">
        <is>
          <t>2025</t>
        </is>
      </c>
      <c r="I62" s="78" t="inlineStr">
        <is>
          <t>Supports the model's 5.0–6.0x EBITDA base pricing for founder-held targets</t>
        </is>
      </c>
    </row>
    <row r="63" ht="60" customHeight="1" s="74">
      <c r="B63" s="78" t="inlineStr">
        <is>
          <t>V6</t>
        </is>
      </c>
      <c r="C63" s="78" t="inlineStr">
        <is>
          <t>Valuation</t>
        </is>
      </c>
      <c r="D63" s="78" t="inlineStr">
        <is>
          <t>Diehl–Tauber (Oct 2025, ~€100M revenue, price undisclosed); Diehl–EST Energetics (Jul 2026); Arca–Esplodenti Sabino (Oct 2025) — strategics consolidating the large end</t>
        </is>
      </c>
      <c r="E63" s="141" t="inlineStr">
        <is>
          <t>VERIFIED</t>
        </is>
      </c>
      <c r="F63" s="78" t="inlineStr">
        <is>
          <t>ESD; Diehl; Legal500</t>
        </is>
      </c>
      <c r="G63" s="140" t="inlineStr">
        <is>
          <t>Diehl Defence</t>
        </is>
      </c>
      <c r="H63" s="78" t="inlineStr">
        <is>
          <t>2025–26</t>
        </is>
      </c>
      <c r="I63" s="78" t="inlineStr">
        <is>
          <t>Supports 'no consolidator at founder scale' (softened from 'zero consolidators')</t>
        </is>
      </c>
    </row>
    <row r="64" ht="60" customHeight="1" s="74">
      <c r="B64" s="78" t="inlineStr">
        <is>
          <t>P1</t>
        </is>
      </c>
      <c r="C64" s="78" t="inlineStr">
        <is>
          <t>Demand</t>
        </is>
      </c>
      <c r="D64" s="78" t="inlineStr">
        <is>
          <t>UNMAS/UNPD ran two procurements in 2025 for mobile small-arms ammunition destruction (RFIUNPD23632 Uganda, to 12.7mm; EOIUNPD23750 20-ft container, ≥40 kg/hr, deployable to eight missions)</t>
        </is>
      </c>
      <c r="E64" s="141" t="inlineStr">
        <is>
          <t>VERIFIED</t>
        </is>
      </c>
      <c r="F64" s="78" t="inlineStr">
        <is>
          <t>UNGM notices</t>
        </is>
      </c>
      <c r="G64" s="140" t="inlineStr">
        <is>
          <t>UNGM</t>
        </is>
      </c>
      <c r="H64" s="78" t="inlineStr">
        <is>
          <t>2025</t>
        </is>
      </c>
      <c r="I64" s="78" t="inlineStr">
        <is>
          <t>New</t>
        </is>
      </c>
    </row>
    <row r="65" ht="60" customHeight="1" s="74">
      <c r="B65" s="78" t="inlineStr">
        <is>
          <t>P2</t>
        </is>
      </c>
      <c r="C65" s="78" t="inlineStr">
        <is>
          <t>Demand</t>
        </is>
      </c>
      <c r="D65" s="78" t="inlineStr">
        <is>
          <t>PSPC/DND W8486-217446/B 'Ammunition and Explosives Demilitarization and Disposal Services' (Canada)</t>
        </is>
      </c>
      <c r="E65" s="78" t="inlineStr">
        <is>
          <t>PARTIALLY VERIFIED</t>
        </is>
      </c>
      <c r="F65" s="78" t="inlineStr">
        <is>
          <t>Notice title confirmed; MERX page not accessible</t>
        </is>
      </c>
      <c r="G65" s="140" t="inlineStr">
        <is>
          <t>MERX</t>
        </is>
      </c>
      <c r="H65" s="78" t="inlineStr">
        <is>
          <t>—</t>
        </is>
      </c>
      <c r="I65" s="78" t="inlineStr">
        <is>
          <t>Memo only</t>
        </is>
      </c>
    </row>
    <row r="66" ht="60" customHeight="1" s="74">
      <c r="B66" s="78" t="inlineStr">
        <is>
          <t>P3</t>
        </is>
      </c>
      <c r="C66" s="78" t="inlineStr">
        <is>
          <t>Demand</t>
        </is>
      </c>
      <c r="D66" s="78" t="inlineStr">
        <is>
          <t>UK MoD DE&amp;S EOD &amp; Search Supportability Framework pipeline notice, £23M, 2028–2036</t>
        </is>
      </c>
      <c r="E66" s="141" t="inlineStr">
        <is>
          <t>VERIFIED</t>
        </is>
      </c>
      <c r="F66" s="78" t="inlineStr">
        <is>
          <t>Defence Online</t>
        </is>
      </c>
      <c r="G66" s="140" t="inlineStr">
        <is>
          <t>Defence Online</t>
        </is>
      </c>
      <c r="H66" s="78" t="inlineStr">
        <is>
          <t>27 Aug 2026</t>
        </is>
      </c>
      <c r="I66" s="78" t="inlineStr">
        <is>
          <t>Deck slide 8 and memo</t>
        </is>
      </c>
    </row>
    <row r="67" ht="60" customHeight="1" s="74">
      <c r="B67" s="78" t="inlineStr">
        <is>
          <t>A1</t>
        </is>
      </c>
      <c r="C67" s="78" t="inlineStr">
        <is>
          <t>Model</t>
        </is>
      </c>
      <c r="D67" s="78" t="inlineStr">
        <is>
          <t>Y0 (2026) revenue = placeholder pending Tom's FY2026 estimate; FY2025 actual used as anchor</t>
        </is>
      </c>
      <c r="E67" s="144" t="inlineStr">
        <is>
          <t>PLACEHOLDER</t>
        </is>
      </c>
      <c r="F67" s="78" t="inlineStr">
        <is>
          <t>Tom: leave a marked placeholder</t>
        </is>
      </c>
      <c r="G67" s="78" t="inlineStr">
        <is>
          <t>—</t>
        </is>
      </c>
      <c r="H67" s="78" t="inlineStr">
        <is>
          <t>Sep 2026</t>
        </is>
      </c>
      <c r="I67" s="78" t="inlineStr">
        <is>
          <t>Baseline tab, yellow cell 'FY2026 destruction-services revenue estimate — PLACEHOLDER'</t>
        </is>
      </c>
    </row>
    <row r="68" ht="60" customHeight="1" s="74">
      <c r="B68" s="78" t="inlineStr">
        <is>
          <t>A2</t>
        </is>
      </c>
      <c r="C68" s="78" t="inlineStr">
        <is>
          <t>Model</t>
        </is>
      </c>
      <c r="D68" s="78" t="inlineStr">
        <is>
          <t>TAM/SAM/SOM construction ('our construction'): TAM ~US$4–6bn/yr forming + US$27.6bn episodic (Ukraine); SAM NA+Europe ~US$1.5–2.5bn; SOM = model Year-5 revenue</t>
        </is>
      </c>
      <c r="E68" s="143" t="inlineStr">
        <is>
          <t>ASSUMPTION</t>
        </is>
      </c>
      <c r="F68" s="78" t="inlineStr">
        <is>
          <t>Layer factors on Market tab, each labelled sourced or assumed</t>
        </is>
      </c>
      <c r="G68" s="78" t="inlineStr">
        <is>
          <t>Model — Market tab</t>
        </is>
      </c>
      <c r="H68" s="78" t="inlineStr">
        <is>
          <t>Sep 2026</t>
        </is>
      </c>
      <c r="I68" s="78" t="inlineStr">
        <is>
          <t>REPLACES the August '$15bn TAM / $5.2bn SAM'. Note the coincidence: the new forming TAM is also ~$5.2bn, but it is a different construction (the August $5.2bn was a SAM derived from a $15bn TAM that included chemical-weapons demil and an unsourced $2.5bn ammo-demil line)</t>
        </is>
      </c>
    </row>
    <row r="69" ht="60" customHeight="1" s="74">
      <c r="B69" s="78" t="inlineStr">
        <is>
          <t>A3</t>
        </is>
      </c>
      <c r="C69" s="78" t="inlineStr">
        <is>
          <t>Model</t>
        </is>
      </c>
      <c r="D69" s="78" t="inlineStr">
        <is>
          <t>Acquisition programme: six capability acquisitions 2028–2033, entry revenue $10–20M, priced at 5.0–6.0x EBITDA (≈0.7–1.1x revenue) with a 2.0x-revenue cost sensitivity; post-acquisition growth 12% base</t>
        </is>
      </c>
      <c r="E69" s="143" t="inlineStr">
        <is>
          <t>ASSUMPTION</t>
        </is>
      </c>
      <c r="F69" s="78" t="inlineStr">
        <is>
          <t>Supported by V4/V5 evidence</t>
        </is>
      </c>
      <c r="G69" s="78" t="inlineStr">
        <is>
          <t>Model — Acquisitions tab</t>
        </is>
      </c>
      <c r="H69" s="78" t="inlineStr">
        <is>
          <t>Sep 2026</t>
        </is>
      </c>
      <c r="I69" s="78" t="inlineStr">
        <is>
          <t>REPLACES 7 deals at 1.2x revenue</t>
        </is>
      </c>
    </row>
    <row r="70" ht="60" customHeight="1" s="74">
      <c r="B70" s="78" t="inlineStr">
        <is>
          <t>A4</t>
        </is>
      </c>
      <c r="C70" s="78" t="inlineStr">
        <is>
          <t>Model</t>
        </is>
      </c>
      <c r="D70" s="78" t="inlineStr">
        <is>
          <t>Discount rate 25% base (20–30% sensitivity) on the Year-10 DFV bridge; exit multiples 8–12x EBITDA in the returns case</t>
        </is>
      </c>
      <c r="E70" s="143" t="inlineStr">
        <is>
          <t>ASSUMPTION</t>
        </is>
      </c>
      <c r="F70" s="78" t="inlineStr">
        <is>
          <t>Teardown finding: 20% understated risk</t>
        </is>
      </c>
      <c r="G70" s="78" t="inlineStr">
        <is>
          <t>Model — Returns tab</t>
        </is>
      </c>
      <c r="H70" s="78" t="inlineStr">
        <is>
          <t>Sep 2026</t>
        </is>
      </c>
      <c r="I70" s="78" t="inlineStr">
        <is>
          <t>CHANGED from 20%</t>
        </is>
      </c>
    </row>
    <row r="71" ht="60" customHeight="1" s="74">
      <c r="B71" s="78" t="inlineStr">
        <is>
          <t>A5</t>
        </is>
      </c>
      <c r="C71" s="78" t="inlineStr">
        <is>
          <t>Model</t>
        </is>
      </c>
      <c r="D71" s="78" t="inlineStr">
        <is>
          <t>Metals recovery contribution 10% of custody-destruction services revenue (base); 5%/15% scenarios; recovery underwritten on commercial/allied/LE work only, never on DoD demil services metal (10 USC 7690)</t>
        </is>
      </c>
      <c r="E71" s="143" t="inlineStr">
        <is>
          <t>ASSUMPTION</t>
        </is>
      </c>
      <c r="F71" s="78" t="inlineStr">
        <is>
          <t>Original 14% placeholder reduced; title rule from R6</t>
        </is>
      </c>
      <c r="G71" s="78" t="inlineStr">
        <is>
          <t>Model — Inputs</t>
        </is>
      </c>
      <c r="H71" s="78" t="inlineStr">
        <is>
          <t>Sep 2026</t>
        </is>
      </c>
      <c r="I71" s="78" t="inlineStr">
        <is>
          <t>CHANGED from 14%</t>
        </is>
      </c>
    </row>
    <row r="72" ht="60" customHeight="1" s="74">
      <c r="B72" s="78" t="inlineStr">
        <is>
          <t>A6</t>
        </is>
      </c>
      <c r="C72" s="78" t="inlineStr">
        <is>
          <t>Model</t>
        </is>
      </c>
      <c r="D72" s="78" t="inlineStr">
        <is>
          <t>Chemical-weapons demilitarization line removed from model and deck (OPCW-controlled, shrinking, off-strategy)</t>
        </is>
      </c>
      <c r="E72" s="142" t="inlineStr">
        <is>
          <t>REMOVED</t>
        </is>
      </c>
      <c r="F72" s="78" t="inlineStr">
        <is>
          <t>Tom: include only if it fits — it does not fit the demil/secure-destruction roll-up story</t>
        </is>
      </c>
      <c r="G72" s="78" t="inlineStr">
        <is>
          <t>—</t>
        </is>
      </c>
      <c r="H72" s="78" t="inlineStr">
        <is>
          <t>Sep 2026</t>
        </is>
      </c>
      <c r="I72" s="78" t="inlineStr">
        <is>
          <t>REMOVED (original slides 14–16, model line)</t>
        </is>
      </c>
    </row>
    <row r="73" ht="60" customHeight="1" s="74">
      <c r="B73" s="78" t="inlineStr">
        <is>
          <t>X1</t>
        </is>
      </c>
      <c r="C73" s="78" t="inlineStr">
        <is>
          <t>Deck change</t>
        </is>
      </c>
      <c r="D73" s="78" t="inlineStr">
        <is>
          <t>Deck reordered: Foundation → Opportunity → Platform → Roadmap → Investment case → Sources (original: Problem → Why TWB → Venture → Valuation)</t>
        </is>
      </c>
      <c r="E73" s="145" t="inlineStr">
        <is>
          <t>CHANGE</t>
        </is>
      </c>
      <c r="F73" s="78" t="inlineStr">
        <is>
          <t>Tom approved 1 Sep 2026</t>
        </is>
      </c>
      <c r="G73" s="78" t="inlineStr">
        <is>
          <t>—</t>
        </is>
      </c>
      <c r="H73" s="78" t="inlineStr">
        <is>
          <t>Sep 2026</t>
        </is>
      </c>
      <c r="I73" s="78" t="inlineStr">
        <is>
          <t>Structural</t>
        </is>
      </c>
    </row>
    <row r="74" ht="60" customHeight="1" s="74">
      <c r="B74" s="78" t="inlineStr">
        <is>
          <t>X2</t>
        </is>
      </c>
      <c r="C74" s="78" t="inlineStr">
        <is>
          <t>Deck change</t>
        </is>
      </c>
      <c r="D74" s="78" t="inlineStr">
        <is>
          <t>'A CLN company' footer removed; no reference to the parent anywhere</t>
        </is>
      </c>
      <c r="E74" s="145" t="inlineStr">
        <is>
          <t>CHANGE</t>
        </is>
      </c>
      <c r="F74" s="78" t="inlineStr">
        <is>
          <t>Brief: do not mention CLN</t>
        </is>
      </c>
      <c r="G74" s="78" t="inlineStr">
        <is>
          <t>—</t>
        </is>
      </c>
      <c r="H74" s="78" t="inlineStr">
        <is>
          <t>Sep 2026</t>
        </is>
      </c>
      <c r="I74" s="78" t="inlineStr">
        <is>
          <t>Removed</t>
        </is>
      </c>
    </row>
    <row r="75" ht="60" customHeight="1" s="74">
      <c r="B75" s="78" t="inlineStr">
        <is>
          <t>X3</t>
        </is>
      </c>
      <c r="C75" s="78" t="inlineStr">
        <is>
          <t>Deck change</t>
        </is>
      </c>
      <c r="D75" s="78" t="inlineStr">
        <is>
          <t>'$0 platforms built to unmake it' / '0 consolidators' softened to 'no consolidator at founder scale'</t>
        </is>
      </c>
      <c r="E75" s="145" t="inlineStr">
        <is>
          <t>CHANGE</t>
        </is>
      </c>
      <c r="F75" s="78" t="inlineStr">
        <is>
          <t>Strategics (Rheinmetall, Diehl, Arca, Cadre) are consolidating the large end — see V6</t>
        </is>
      </c>
      <c r="G75" s="78" t="inlineStr">
        <is>
          <t>—</t>
        </is>
      </c>
      <c r="H75" s="78" t="inlineStr">
        <is>
          <t>Sep 2026</t>
        </is>
      </c>
      <c r="I75" s="78" t="inlineStr">
        <is>
          <t>Softened</t>
        </is>
      </c>
    </row>
    <row r="76" ht="60" customHeight="1" s="74">
      <c r="B76" s="78" t="inlineStr">
        <is>
          <t>X4</t>
        </is>
      </c>
      <c r="C76" s="78" t="inlineStr">
        <is>
          <t>Deck change</t>
        </is>
      </c>
      <c r="D76" s="78" t="inlineStr">
        <is>
          <t>Investment narrative HTML stockpile figure (303,772 t / 361,220 forecast) reconciled: both series now dated and attributed (P-1 book 296,534 t at 4 Dec 2025; PD Demil forecast 361,220 by FY30)</t>
        </is>
      </c>
      <c r="E76" s="145" t="inlineStr">
        <is>
          <t>CHANGE</t>
        </is>
      </c>
      <c r="F76" s="78" t="inlineStr">
        <is>
          <t>See D1/D3</t>
        </is>
      </c>
      <c r="G76" s="78" t="inlineStr">
        <is>
          <t>—</t>
        </is>
      </c>
      <c r="H76" s="78" t="inlineStr">
        <is>
          <t>Sep 2026</t>
        </is>
      </c>
      <c r="I76" s="78" t="inlineStr">
        <is>
          <t>Reconciled</t>
        </is>
      </c>
    </row>
    <row r="77" ht="60" customHeight="1" s="74">
      <c r="B77" s="78" t="inlineStr">
        <is>
          <t>X5</t>
        </is>
      </c>
      <c r="C77" s="78" t="inlineStr">
        <is>
          <t>Deck change</t>
        </is>
      </c>
      <c r="D77" s="78" t="inlineStr">
        <is>
          <t>Competitive table rebuilt: General Atomics removed (technology vendor), EnviroSafe Demil added, Expal metals-recovery tick corrected, 'ITAR' row replaced with 'DFARS qualifying-country standing', in-development capabilities shown as roadmap not ticks</t>
        </is>
      </c>
      <c r="E77" s="145" t="inlineStr">
        <is>
          <t>CHANGE</t>
        </is>
      </c>
      <c r="F77" s="78" t="inlineStr">
        <is>
          <t>See K1–K7</t>
        </is>
      </c>
      <c r="G77" s="78" t="inlineStr">
        <is>
          <t>—</t>
        </is>
      </c>
      <c r="H77" s="78" t="inlineStr">
        <is>
          <t>Sep 2026</t>
        </is>
      </c>
      <c r="I77" s="78" t="inlineStr">
        <is>
          <t>Rebuilt</t>
        </is>
      </c>
    </row>
    <row r="78" ht="60" customHeight="1" s="74">
      <c r="B78" s="78" t="inlineStr">
        <is>
          <t>X6</t>
        </is>
      </c>
      <c r="C78" s="78" t="inlineStr">
        <is>
          <t>Deck change</t>
        </is>
      </c>
      <c r="D78" s="78" t="inlineStr">
        <is>
          <t>Valuation section: DFV bridge retained (corrected multiples, 25% discount, sensitivity) and a PE-style returns case added ahead of it; 'go-public' framing dropped from title</t>
        </is>
      </c>
      <c r="E78" s="145" t="inlineStr">
        <is>
          <t>CHANGE</t>
        </is>
      </c>
      <c r="F78" s="78" t="inlineStr">
        <is>
          <t>Tom: choose the most ideal option</t>
        </is>
      </c>
      <c r="G78" s="78" t="inlineStr">
        <is>
          <t>—</t>
        </is>
      </c>
      <c r="H78" s="78" t="inlineStr">
        <is>
          <t>Sep 2026</t>
        </is>
      </c>
      <c r="I78" s="78" t="inlineStr">
        <is>
          <t>Added returns case</t>
        </is>
      </c>
    </row>
    <row r="79" ht="60" customHeight="1" s="74">
      <c r="B79" s="78" t="inlineStr">
        <is>
          <t>X7</t>
        </is>
      </c>
      <c r="C79" s="78" t="inlineStr">
        <is>
          <t>Deck change</t>
        </is>
      </c>
      <c r="D79" s="78" t="inlineStr">
        <is>
          <t>Capital-required-by-phase slide added; ask left as a placeholder</t>
        </is>
      </c>
      <c r="E79" s="145" t="inlineStr">
        <is>
          <t>CHANGE</t>
        </is>
      </c>
      <c r="F79" s="78" t="inlineStr">
        <is>
          <t>Tom: do whichever is best (Q3)</t>
        </is>
      </c>
      <c r="G79" s="78" t="inlineStr">
        <is>
          <t>—</t>
        </is>
      </c>
      <c r="H79" s="78" t="inlineStr">
        <is>
          <t>Sep 2026</t>
        </is>
      </c>
      <c r="I79" s="78" t="inlineStr">
        <is>
          <t>Added</t>
        </is>
      </c>
    </row>
    <row r="80" ht="60" customHeight="1" s="74">
      <c r="B80" s="78" t="inlineStr">
        <is>
          <t>X8</t>
        </is>
      </c>
      <c r="C80" s="78" t="inlineStr">
        <is>
          <t>Deck change</t>
        </is>
      </c>
      <c r="D80" s="78" t="inlineStr">
        <is>
          <t>Roadmap: engine heading 'Acquire · Partner · Develop' kept; individual capability lines not tagged by delivery mode; university/MIT names replaced by 'US university (name TBC)' and '[partner — TBC]' placeholders</t>
        </is>
      </c>
      <c r="E80" s="145" t="inlineStr">
        <is>
          <t>CHANGE</t>
        </is>
      </c>
      <c r="F80" s="78" t="inlineStr">
        <is>
          <t>Tom Q9/Q10</t>
        </is>
      </c>
      <c r="G80" s="78" t="inlineStr">
        <is>
          <t>—</t>
        </is>
      </c>
      <c r="H80" s="78" t="inlineStr">
        <is>
          <t>Sep 2026</t>
        </is>
      </c>
      <c r="I80" s="78" t="inlineStr">
        <is>
          <t>Changed</t>
        </is>
      </c>
    </row>
    <row r="81" ht="60" customHeight="1" s="74">
      <c r="B81" s="78" t="inlineStr">
        <is>
          <t>X9</t>
        </is>
      </c>
      <c r="C81" s="78" t="inlineStr">
        <is>
          <t>Deck change</t>
        </is>
      </c>
      <c r="D81" s="78" t="inlineStr">
        <is>
          <t>Logo: the brand master PNG (brand/twb-logo-black.png / -white.png) is embedded on every slide</t>
        </is>
      </c>
      <c r="E81" s="145" t="inlineStr">
        <is>
          <t>CHANGE</t>
        </is>
      </c>
      <c r="F81" s="78" t="inlineStr">
        <is>
          <t>Confirm it renders correctly on the presenting machine</t>
        </is>
      </c>
      <c r="G81" s="78" t="inlineStr">
        <is>
          <t>—</t>
        </is>
      </c>
      <c r="H81" s="78" t="inlineStr">
        <is>
          <t>Sep 2026</t>
        </is>
      </c>
      <c r="I81" s="78" t="inlineStr">
        <is>
          <t>Done</t>
        </is>
      </c>
    </row>
    <row r="82" ht="60" customHeight="1" s="74">
      <c r="B82" s="78" t="inlineStr">
        <is>
          <t>R1</t>
        </is>
      </c>
      <c r="C82" s="78" t="inlineStr">
        <is>
          <t>Financing</t>
        </is>
      </c>
      <c r="D82" s="78" t="inlineStr">
        <is>
          <t>Initial raise (Round 1) confirmed at US$10.0M</t>
        </is>
      </c>
      <c r="E82" s="143" t="inlineStr">
        <is>
          <t>COMPANY-PROVIDED</t>
        </is>
      </c>
      <c r="F82" s="78" t="inlineStr">
        <is>
          <t>Tom, 2 Sep 2026, in chat: 'Confirmed the raise amount, and it will be USD $10 million initially.'</t>
        </is>
      </c>
      <c r="G82" s="78" t="inlineStr">
        <is>
          <t>—</t>
        </is>
      </c>
      <c r="H82" s="78" t="inlineStr">
        <is>
          <t>2 Sep 2026</t>
        </is>
      </c>
      <c r="I82" s="78" t="inlineStr">
        <is>
          <t>NEW — added Inputs!Financing section and Outputs 'Deck — The Ask' rows; deck ask, capital-required and closing slides updated</t>
        </is>
      </c>
    </row>
    <row r="83" ht="60" customHeight="1" s="74">
      <c r="B83" s="78" t="inlineStr">
        <is>
          <t>R2</t>
        </is>
      </c>
      <c r="C83" s="78" t="inlineStr">
        <is>
          <t>Financing</t>
        </is>
      </c>
      <c r="D83" s="78" t="inlineStr">
        <is>
          <t>Use of proceeds for the initial raise: $4.15M fully funds the model's Phase 1 (2026–27) operating requirement; remaining $5.85M held as reserve toward first-acquisition diligence, negotiation and working capital — explicitly not sufficient to close an acquisition (first target ~$17.8M, first two combined ~$26.8M)</t>
        </is>
      </c>
      <c r="E83" s="143" t="inlineStr">
        <is>
          <t>ASSUMPTION / OUR CONSTRUCTION</t>
        </is>
      </c>
      <c r="F83" s="78" t="inlineStr">
        <is>
          <t>Derived from existing model outputs (P&amp;L &amp; Capital Phase 1 requirement; Acquisitions tab entry consideration for deals 1–2). No new operational data introduced — a re-segmentation of already-modelled figures per Tom's instruction not to add new TWB operating data to the deck this round.</t>
        </is>
      </c>
      <c r="G83" s="78" t="inlineStr">
        <is>
          <t>Model — Outputs tab (raise1_phase1, raise1_reserve, deal1_consid, deal12_consid)</t>
        </is>
      </c>
      <c r="H83" s="78" t="inlineStr">
        <is>
          <t>2 Sep 2026</t>
        </is>
      </c>
      <c r="I83" s="78" t="inlineStr">
        <is>
          <t>NEW</t>
        </is>
      </c>
    </row>
    <row r="84" ht="60" customHeight="1" s="74">
      <c r="B84" s="78" t="inlineStr">
        <is>
          <t>R3</t>
        </is>
      </c>
      <c r="C84" s="78" t="inlineStr">
        <is>
          <t>Team</t>
        </is>
      </c>
      <c r="D84" s="78" t="inlineStr">
        <is>
          <t>Team slide: Tom (Founder &amp; CEO, TWB Designs) and Joe Kasper (Strategic Advisor)</t>
        </is>
      </c>
      <c r="E84" s="143" t="inlineStr">
        <is>
          <t>COMPANY-PROVIDED</t>
        </is>
      </c>
      <c r="F84" s="78" t="inlineStr">
        <is>
          <t>Tom confirmed the advisory relationship is real ('He's agreed / in discussion', 1 Sep 2026); Kasper bio content reuses the fact-checked standalone advisor profile (REalloys team page, 30 Mar 2026 press release, Newsweek/Washington Times). No other names used — no fabricated board, executives or advisors.</t>
        </is>
      </c>
      <c r="G84" s="140" t="inlineStr">
        <is>
          <t>REalloys, Inc.</t>
        </is>
      </c>
      <c r="H84" s="78" t="inlineStr">
        <is>
          <t>30 Mar 2026</t>
        </is>
      </c>
      <c r="I84" s="78" t="inlineStr">
        <is>
          <t>NEW — reviewer's #4 highest-impact request; only two real, confirmed people shown</t>
        </is>
      </c>
    </row>
    <row r="85" ht="60" customHeight="1" s="74">
      <c r="B85" s="78" t="inlineStr">
        <is>
          <t>R4</t>
        </is>
      </c>
      <c r="C85" s="78" t="inlineStr">
        <is>
          <t>Deck change</t>
        </is>
      </c>
      <c r="D85" s="78" t="inlineStr">
        <is>
          <t>IP / moat framing on the eMACS slide reframed from 'Patented 2004/2008' headline to 'Process know-how &amp; moat — 25 years operational', citing the same US 6,758,151 / CA 2,402,939 patents as now expired</t>
        </is>
      </c>
      <c r="E85" s="145" t="inlineStr">
        <is>
          <t>CHANGE</t>
        </is>
      </c>
      <c r="F85" s="78" t="inlineStr">
        <is>
          <t>Reviewer note: 'patents are expired, so the moat needs to be reframed' — same underlying sources as C-series patent claim (Google Patents), no new claim added, framing only</t>
        </is>
      </c>
      <c r="G85" s="140" t="inlineStr">
        <is>
          <t>Google Patents</t>
        </is>
      </c>
      <c r="H85" s="78" t="inlineStr">
        <is>
          <t>Sep 2026</t>
        </is>
      </c>
      <c r="I85" s="78" t="inlineStr">
        <is>
          <t>CHANGED — heading and emphasis only; no fact changed</t>
        </is>
      </c>
    </row>
    <row r="86" ht="60" customHeight="1" s="74">
      <c r="B86" s="78" t="inlineStr">
        <is>
          <t>R5</t>
        </is>
      </c>
      <c r="C86" s="78" t="inlineStr">
        <is>
          <t>Deck change</t>
        </is>
      </c>
      <c r="D86" s="78" t="inlineStr">
        <is>
          <t>Traction slide added, surfacing FY2023–2025 combined actuals (revenue, EBITDA, EBITDA margin, net income, balance sheet at 31 Dec 2025) already verified in the memo (C11) but previously excluded from the deck per the original brief</t>
        </is>
      </c>
      <c r="E86" s="145" t="inlineStr">
        <is>
          <t>CHANGE</t>
        </is>
      </c>
      <c r="F86" s="78" t="inlineStr">
        <is>
          <t>Same source as C11 (compiled financial statements, Steve Herman Accounting) — figures moved from memo-only to deck, not newly created; fleet-in-service count deliberately NOT asserted (Inputs tab placeholder, Tom to confirm)</t>
        </is>
      </c>
      <c r="G86" s="78" t="inlineStr">
        <is>
          <t>Original supporting memo §2 / Steve Herman Accounting compiled statements</t>
        </is>
      </c>
      <c r="H86" s="78" t="inlineStr">
        <is>
          <t>2026</t>
        </is>
      </c>
      <c r="I86" s="78" t="inlineStr">
        <is>
          <t>NEW slide, reviewer's #3 highest-impact request — no new figures, existing verified figures surfaced</t>
        </is>
      </c>
    </row>
    <row r="87" ht="60" customHeight="1" s="74">
      <c r="B87" s="78" t="inlineStr">
        <is>
          <t>R6</t>
        </is>
      </c>
      <c r="C87" s="78" t="inlineStr">
        <is>
          <t>Deck change</t>
        </is>
      </c>
      <c r="D87" s="78" t="inlineStr">
        <is>
          <t>Deck restructured to reviewer feedback (external review, 7.0/10, 2 Sep 2026): section order changed to Foundation → Opportunity → Platform &amp; Roadmap → Investment case (operating proof moved to slides 4–8); Platform &amp; Roadmap compressed from 5 to 3 content slides; full competitive matrix moved to a new appendix behind a simplified positioning map; De-risking Roadmap slide added; closing slide rewritten to end on the specific round, milestones and decision</t>
        </is>
      </c>
      <c r="E87" s="145" t="inlineStr">
        <is>
          <t>CHANGE</t>
        </is>
      </c>
      <c r="F87" s="78" t="inlineStr">
        <is>
          <t>Tom: 'Improve the deck and all supplementary docs... using this feedback', 2 Sep 2026</t>
        </is>
      </c>
      <c r="G87" s="78" t="inlineStr">
        <is>
          <t>—</t>
        </is>
      </c>
      <c r="H87" s="78" t="inlineStr">
        <is>
          <t>2 Sep 2026</t>
        </is>
      </c>
      <c r="I87" s="78" t="inlineStr">
        <is>
          <t>Structural — addresses reviewer's highest-impact changes #2, #5, #6, #7; no operating claims changed</t>
        </is>
      </c>
    </row>
    <row r="88">
      <c r="B88" t="inlineStr">
        <is>
          <t>A7</t>
        </is>
      </c>
      <c r="C88" t="inlineStr">
        <is>
          <t>Model</t>
        </is>
      </c>
      <c r="D88" t="inlineStr">
        <is>
          <t>Blended Adjusted EBITDA margin target: 30% by Year 5 (2031), growing to 35% by Year 10 (2036); implemented as a direct margin override (Inputs I91-I95) that solves corporate platform cost (P&amp;L &amp; Capital row 19, Y1-Y10) residually each year so Adjusted EBITDA / Revenue hits the target exactly. Year 0 unaffected (bottom-up build retained).</t>
        </is>
      </c>
      <c r="E88" t="inlineStr">
        <is>
          <t>ASSUMPTION</t>
        </is>
      </c>
      <c r="F88" t="inlineStr">
        <is>
          <t>Tom, 3 Sep 2026, in chat: "Assume EBITDA Margin gets to 30% by year 5. and grows to 35% over the next 5 years (at year ten it is 35%). Update all documents accordingly."</t>
        </is>
      </c>
      <c r="G88" t="inlineStr">
        <is>
          <t>Model - Inputs tab, rows 91-95</t>
        </is>
      </c>
      <c r="H88" t="inlineStr">
        <is>
          <t>3 Sep 2026</t>
        </is>
      </c>
      <c r="I88" t="inlineStr">
        <is>
          <t>CHANGED - replaces the prior bottom-up corporate-cost margin path (which reached roughly 14% by Year 10) with a company-directed target margin; equity requirement falls to ~$49.3M (from ~$84.7M), Year-10 Adjusted EBITDA rises to ~$119.6M (from ~$46.7M), Year-7-exit MOIC/IRR rise to ~15.0x/76% (from ~3.3x/33%). Headcount tab row 15 (Corporate/platform FTE) decoupled to reference the original cost-driver formula directly, so the FTE build is unaffected by the override.</t>
        </is>
      </c>
    </row>
    <row r="89">
      <c r="B89" t="inlineStr">
        <is>
          <t>X10</t>
        </is>
      </c>
      <c r="C89" t="inlineStr">
        <is>
          <t>Deck change</t>
        </is>
      </c>
      <c r="D89" t="inlineStr">
        <is>
          <t>Slide 7 (Team) redesign: subheading line removed under each member's name; photo/initials image and card enlarged for both Tom and Joe Kasper; Kasper's credential line folded into the first bullet point instead of a standalone subheading</t>
        </is>
      </c>
      <c r="E89" t="inlineStr">
        <is>
          <t>CHANGE</t>
        </is>
      </c>
      <c r="F89" t="inlineStr">
        <is>
          <t>Tom, 3 Sep 2026: "On slide 7, Remove the subheading and increase the size of the box and image for each member."</t>
        </is>
      </c>
      <c r="G89" t="inlineStr">
        <is>
          <t>-</t>
        </is>
      </c>
      <c r="H89" t="inlineStr">
        <is>
          <t>3 Sep 2026</t>
        </is>
      </c>
      <c r="I89" t="inlineStr">
        <is>
          <t>Layout only - no factual claim changed; same sourced content as R3/R4 (Kasper bio) retained in the enlarged bullet list</t>
        </is>
      </c>
    </row>
  </sheetData>
  <hyperlinks>
    <hyperlink xmlns:r="http://schemas.openxmlformats.org/officeDocument/2006/relationships" ref="G7" display="SIPRI, Trends in World Military Expenditure 2025" r:id="rId1"/>
    <hyperlink xmlns:r="http://schemas.openxmlformats.org/officeDocument/2006/relationships" ref="G8" display="SIPRI, Trends in World Military Expenditure 2025" r:id="rId2"/>
    <hyperlink xmlns:r="http://schemas.openxmlformats.org/officeDocument/2006/relationships" ref="G9" display="Uppsala University / UCDP press release" r:id="rId3"/>
    <hyperlink xmlns:r="http://schemas.openxmlformats.org/officeDocument/2006/relationships" ref="G10" display="Landmine Monitor 2025" r:id="rId4"/>
    <hyperlink xmlns:r="http://schemas.openxmlformats.org/officeDocument/2006/relationships" ref="G11" display="World Bank / Govt of Ukraine, RDNA5" r:id="rId5"/>
    <hyperlink xmlns:r="http://schemas.openxmlformats.org/officeDocument/2006/relationships" ref="G12" display="Global Growth Insights, EOD market report" r:id="rId6"/>
    <hyperlink xmlns:r="http://schemas.openxmlformats.org/officeDocument/2006/relationships" ref="G13" display="US Dept of State / JMU CISR mirror" r:id="rId7"/>
    <hyperlink xmlns:r="http://schemas.openxmlformats.org/officeDocument/2006/relationships" ref="G14" display="Rheinmetall AG press release" r:id="rId8"/>
    <hyperlink xmlns:r="http://schemas.openxmlformats.org/officeDocument/2006/relationships" ref="G15" display="Stars and Stripes" r:id="rId9"/>
    <hyperlink xmlns:r="http://schemas.openxmlformats.org/officeDocument/2006/relationships" ref="G16" display="Breaking Defense" r:id="rId10"/>
    <hyperlink xmlns:r="http://schemas.openxmlformats.org/officeDocument/2006/relationships" ref="G17" display="US Army FY2027 Budget Estimates, Procurement of Ammunition" r:id="rId11"/>
    <hyperlink xmlns:r="http://schemas.openxmlformats.org/officeDocument/2006/relationships" ref="G18" display="US Army FY2027 Procurement of Ammunition" r:id="rId12"/>
    <hyperlink xmlns:r="http://schemas.openxmlformats.org/officeDocument/2006/relationships" ref="G19" display="Hrycak, 'Demil Enterprise Strategic Plan', NDIA" r:id="rId13"/>
    <hyperlink xmlns:r="http://schemas.openxmlformats.org/officeDocument/2006/relationships" ref="G20" display="Hrycak, NDIA Global Demil Symposium" r:id="rId14"/>
    <hyperlink xmlns:r="http://schemas.openxmlformats.org/officeDocument/2006/relationships" ref="G21" display="GovCon Wire / Aerotech News" r:id="rId15"/>
    <hyperlink xmlns:r="http://schemas.openxmlformats.org/officeDocument/2006/relationships" ref="G22" display="DoD contracts (GlobalSecurity mirror)" r:id="rId16"/>
    <hyperlink xmlns:r="http://schemas.openxmlformats.org/officeDocument/2006/relationships" ref="G23" display="HigherGov W52P1J-19-R-0017" r:id="rId17"/>
    <hyperlink xmlns:r="http://schemas.openxmlformats.org/officeDocument/2006/relationships" ref="G24" display="National Academies Press" r:id="rId18"/>
    <hyperlink xmlns:r="http://schemas.openxmlformats.org/officeDocument/2006/relationships" ref="G25" display="Hrycak, NDIA" r:id="rId19"/>
    <hyperlink xmlns:r="http://schemas.openxmlformats.org/officeDocument/2006/relationships" ref="G26" display="Federal Register" r:id="rId20"/>
    <hyperlink xmlns:r="http://schemas.openxmlformats.org/officeDocument/2006/relationships" ref="G27" display="eCFR" r:id="rId21"/>
    <hyperlink xmlns:r="http://schemas.openxmlformats.org/officeDocument/2006/relationships" ref="G28" display="acquisition.gov" r:id="rId22"/>
    <hyperlink xmlns:r="http://schemas.openxmlformats.org/officeDocument/2006/relationships" ref="G29" display="Federal Register / USGS" r:id="rId23"/>
    <hyperlink xmlns:r="http://schemas.openxmlformats.org/officeDocument/2006/relationships" ref="G30" display="GAO" r:id="rId24"/>
    <hyperlink xmlns:r="http://schemas.openxmlformats.org/officeDocument/2006/relationships" ref="G31" display="US Code (OLRC)" r:id="rId25"/>
    <hyperlink xmlns:r="http://schemas.openxmlformats.org/officeDocument/2006/relationships" ref="G32" display="USGS MCS 2026 — Antimony" r:id="rId26"/>
    <hyperlink xmlns:r="http://schemas.openxmlformats.org/officeDocument/2006/relationships" ref="G33" display="Ontario.ca" r:id="rId27"/>
    <hyperlink xmlns:r="http://schemas.openxmlformats.org/officeDocument/2006/relationships" ref="G34" display="CBS News Los Angeles" r:id="rId28"/>
    <hyperlink xmlns:r="http://schemas.openxmlformats.org/officeDocument/2006/relationships" ref="G35" display="Officer.com" r:id="rId29"/>
    <hyperlink xmlns:r="http://schemas.openxmlformats.org/officeDocument/2006/relationships" ref="G36" display="Google Patents" r:id="rId30"/>
    <hyperlink xmlns:r="http://schemas.openxmlformats.org/officeDocument/2006/relationships" ref="G37" display="TWB Designs" r:id="rId31"/>
    <hyperlink xmlns:r="http://schemas.openxmlformats.org/officeDocument/2006/relationships" ref="G38" display="TWB Designs MACS page" r:id="rId32"/>
    <hyperlink xmlns:r="http://schemas.openxmlformats.org/officeDocument/2006/relationships" ref="G39" display="PRWeb" r:id="rId33"/>
    <hyperlink xmlns:r="http://schemas.openxmlformats.org/officeDocument/2006/relationships" ref="G40" display="Officer.com" r:id="rId34"/>
    <hyperlink xmlns:r="http://schemas.openxmlformats.org/officeDocument/2006/relationships" ref="G41" display="City of Hilliard" r:id="rId35"/>
    <hyperlink xmlns:r="http://schemas.openxmlformats.org/officeDocument/2006/relationships" ref="G42" display="PRWeb" r:id="rId36"/>
    <hyperlink xmlns:r="http://schemas.openxmlformats.org/officeDocument/2006/relationships" ref="G43" display="CADS (cached page)" r:id="rId37"/>
    <hyperlink xmlns:r="http://schemas.openxmlformats.org/officeDocument/2006/relationships" ref="G44" display="CADS" r:id="rId38"/>
    <hyperlink xmlns:r="http://schemas.openxmlformats.org/officeDocument/2006/relationships" ref="G51" display="Dynasafe" r:id="rId39"/>
    <hyperlink xmlns:r="http://schemas.openxmlformats.org/officeDocument/2006/relationships" ref="G52" display="Rheinmetall" r:id="rId40"/>
    <hyperlink xmlns:r="http://schemas.openxmlformats.org/officeDocument/2006/relationships" ref="G53" display="GD-OTS" r:id="rId41"/>
    <hyperlink xmlns:r="http://schemas.openxmlformats.org/officeDocument/2006/relationships" ref="G54" display="El Dorado Engineering" r:id="rId42"/>
    <hyperlink xmlns:r="http://schemas.openxmlformats.org/officeDocument/2006/relationships" ref="G55" display="General Atomics" r:id="rId43"/>
    <hyperlink xmlns:r="http://schemas.openxmlformats.org/officeDocument/2006/relationships" ref="G56" display="Day &amp; Zimmermann" r:id="rId44"/>
    <hyperlink xmlns:r="http://schemas.openxmlformats.org/officeDocument/2006/relationships" ref="G57" display="EnviroSafe Demil" r:id="rId45"/>
    <hyperlink xmlns:r="http://schemas.openxmlformats.org/officeDocument/2006/relationships" ref="G58" display="StockAnalysis" r:id="rId46"/>
    <hyperlink xmlns:r="http://schemas.openxmlformats.org/officeDocument/2006/relationships" ref="G59" display="StockAnalysis" r:id="rId47"/>
    <hyperlink xmlns:r="http://schemas.openxmlformats.org/officeDocument/2006/relationships" ref="G60" display="PCE Companies" r:id="rId48"/>
    <hyperlink xmlns:r="http://schemas.openxmlformats.org/officeDocument/2006/relationships" ref="G61" display="Cadre Holdings" r:id="rId49"/>
    <hyperlink xmlns:r="http://schemas.openxmlformats.org/officeDocument/2006/relationships" ref="G62" display="CapitalPad / BVR" r:id="rId50"/>
    <hyperlink xmlns:r="http://schemas.openxmlformats.org/officeDocument/2006/relationships" ref="G63" display="Diehl Defence" r:id="rId51"/>
    <hyperlink xmlns:r="http://schemas.openxmlformats.org/officeDocument/2006/relationships" ref="G64" display="UNGM" r:id="rId52"/>
    <hyperlink xmlns:r="http://schemas.openxmlformats.org/officeDocument/2006/relationships" ref="G65" display="MERX" r:id="rId53"/>
    <hyperlink xmlns:r="http://schemas.openxmlformats.org/officeDocument/2006/relationships" ref="G66" display="Defence Online" r:id="rId54"/>
    <hyperlink xmlns:r="http://schemas.openxmlformats.org/officeDocument/2006/relationships" ref="G84" display="REalloys, Inc." r:id="rId55"/>
    <hyperlink xmlns:r="http://schemas.openxmlformats.org/officeDocument/2006/relationships" ref="G85" display="Google Patents" r:id="rId5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2026-09-02T15:51:48Z</dcterms:created>
  <dcterms:modified xmlns:dcterms="http://purl.org/dc/terms/" xmlns:xsi="http://www.w3.org/2001/XMLSchema-instance" xsi:type="dcterms:W3CDTF">2026-09-03T15:51:11Z</dcterms:modified>
  <cp:revision>0</cp:revision>
</cp:coreProperties>
</file>